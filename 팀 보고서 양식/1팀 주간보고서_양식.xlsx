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내 드라이브\파란플라워_업무분석\12_보고서 양식\"/>
    </mc:Choice>
  </mc:AlternateContent>
  <xr:revisionPtr revIDLastSave="0" documentId="8_{B250EFC8-15F8-4BC4-AF31-D2A1A65285B5}" xr6:coauthVersionLast="47" xr6:coauthVersionMax="47" xr10:uidLastSave="{00000000-0000-0000-0000-000000000000}"/>
  <bookViews>
    <workbookView xWindow="-28020" yWindow="780" windowWidth="25485" windowHeight="14670" tabRatio="500" firstSheet="1" activeTab="7" xr2:uid="{00000000-000D-0000-FFFF-FFFF00000000}"/>
  </bookViews>
  <sheets>
    <sheet name="안내" sheetId="1" r:id="rId1"/>
    <sheet name="이재희" sheetId="2" r:id="rId2"/>
    <sheet name="김가은" sheetId="3" r:id="rId3"/>
    <sheet name="김보혜" sheetId="4" r:id="rId4"/>
    <sheet name="박언정" sheetId="5" r:id="rId5"/>
    <sheet name="강아름" sheetId="6" r:id="rId6"/>
    <sheet name="정민지" sheetId="7" r:id="rId7"/>
    <sheet name="주간 점검 보고서" sheetId="8" r:id="rId8"/>
    <sheet name="유사 배송지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9" l="1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M28" i="8" l="1"/>
  <c r="M122" i="8"/>
  <c r="D122" i="8"/>
  <c r="M121" i="8"/>
  <c r="D121" i="8"/>
  <c r="M120" i="8"/>
  <c r="D120" i="8"/>
  <c r="M119" i="8"/>
  <c r="D119" i="8"/>
  <c r="M118" i="8"/>
  <c r="D118" i="8"/>
  <c r="M117" i="8"/>
  <c r="D117" i="8"/>
  <c r="M116" i="8"/>
  <c r="D116" i="8"/>
  <c r="M115" i="8"/>
  <c r="D115" i="8"/>
  <c r="M114" i="8"/>
  <c r="D114" i="8"/>
  <c r="M113" i="8"/>
  <c r="D113" i="8"/>
  <c r="M112" i="8"/>
  <c r="D112" i="8"/>
  <c r="M111" i="8"/>
  <c r="D111" i="8"/>
  <c r="M110" i="8"/>
  <c r="D110" i="8"/>
  <c r="M109" i="8"/>
  <c r="D109" i="8"/>
  <c r="M108" i="8"/>
  <c r="D108" i="8"/>
  <c r="M107" i="8"/>
  <c r="D107" i="8"/>
  <c r="M106" i="8"/>
  <c r="D106" i="8"/>
  <c r="M105" i="8"/>
  <c r="D105" i="8"/>
  <c r="M104" i="8"/>
  <c r="D104" i="8"/>
  <c r="M103" i="8"/>
  <c r="D103" i="8"/>
  <c r="M102" i="8"/>
  <c r="D102" i="8"/>
  <c r="M101" i="8"/>
  <c r="D101" i="8"/>
  <c r="M100" i="8"/>
  <c r="D100" i="8"/>
  <c r="M99" i="8"/>
  <c r="D99" i="8"/>
  <c r="M98" i="8"/>
  <c r="D98" i="8"/>
  <c r="M97" i="8"/>
  <c r="D97" i="8"/>
  <c r="M96" i="8"/>
  <c r="D96" i="8"/>
  <c r="M95" i="8"/>
  <c r="D95" i="8"/>
  <c r="M94" i="8"/>
  <c r="D94" i="8"/>
  <c r="M93" i="8"/>
  <c r="D93" i="8"/>
  <c r="M92" i="8"/>
  <c r="D92" i="8"/>
  <c r="M91" i="8"/>
  <c r="D91" i="8"/>
  <c r="M90" i="8"/>
  <c r="D90" i="8"/>
  <c r="M89" i="8"/>
  <c r="D89" i="8"/>
  <c r="M88" i="8"/>
  <c r="D88" i="8"/>
  <c r="M87" i="8"/>
  <c r="D87" i="8"/>
  <c r="M86" i="8"/>
  <c r="D86" i="8"/>
  <c r="M85" i="8"/>
  <c r="D85" i="8"/>
  <c r="M84" i="8"/>
  <c r="D84" i="8"/>
  <c r="M83" i="8"/>
  <c r="D83" i="8"/>
  <c r="M82" i="8"/>
  <c r="D82" i="8"/>
  <c r="M81" i="8"/>
  <c r="D81" i="8"/>
  <c r="M80" i="8"/>
  <c r="D80" i="8"/>
  <c r="M79" i="8"/>
  <c r="D79" i="8"/>
  <c r="M78" i="8"/>
  <c r="D78" i="8"/>
  <c r="M77" i="8"/>
  <c r="D77" i="8"/>
  <c r="M76" i="8"/>
  <c r="D76" i="8"/>
  <c r="M75" i="8"/>
  <c r="D75" i="8"/>
  <c r="M74" i="8"/>
  <c r="D74" i="8"/>
  <c r="M73" i="8"/>
  <c r="D73" i="8"/>
  <c r="M72" i="8"/>
  <c r="D72" i="8"/>
  <c r="M71" i="8"/>
  <c r="D71" i="8"/>
  <c r="M70" i="8"/>
  <c r="D70" i="8"/>
  <c r="M69" i="8"/>
  <c r="D69" i="8"/>
  <c r="M68" i="8"/>
  <c r="D68" i="8"/>
  <c r="M67" i="8"/>
  <c r="D67" i="8"/>
  <c r="M66" i="8"/>
  <c r="D66" i="8"/>
  <c r="M65" i="8"/>
  <c r="D65" i="8"/>
  <c r="M64" i="8"/>
  <c r="D64" i="8"/>
  <c r="M63" i="8"/>
  <c r="D63" i="8"/>
  <c r="M62" i="8"/>
  <c r="D62" i="8"/>
  <c r="M61" i="8"/>
  <c r="D61" i="8"/>
  <c r="M60" i="8"/>
  <c r="D60" i="8"/>
  <c r="M59" i="8"/>
  <c r="D59" i="8"/>
  <c r="M58" i="8"/>
  <c r="D58" i="8"/>
  <c r="M57" i="8"/>
  <c r="D57" i="8"/>
  <c r="M56" i="8"/>
  <c r="D56" i="8"/>
  <c r="M55" i="8"/>
  <c r="D55" i="8"/>
  <c r="M54" i="8"/>
  <c r="D54" i="8"/>
  <c r="M53" i="8"/>
  <c r="D53" i="8"/>
  <c r="M52" i="8"/>
  <c r="D52" i="8"/>
  <c r="M51" i="8"/>
  <c r="D51" i="8"/>
  <c r="M50" i="8"/>
  <c r="D50" i="8"/>
  <c r="M49" i="8"/>
  <c r="D49" i="8"/>
  <c r="M48" i="8"/>
  <c r="D48" i="8"/>
  <c r="M47" i="8"/>
  <c r="D47" i="8"/>
  <c r="M46" i="8"/>
  <c r="D46" i="8"/>
  <c r="M45" i="8"/>
  <c r="D45" i="8"/>
  <c r="M44" i="8"/>
  <c r="D44" i="8"/>
  <c r="M43" i="8"/>
  <c r="D43" i="8"/>
  <c r="M42" i="8"/>
  <c r="D42" i="8"/>
  <c r="M41" i="8"/>
  <c r="D41" i="8"/>
  <c r="M40" i="8"/>
  <c r="D40" i="8"/>
  <c r="M39" i="8"/>
  <c r="D39" i="8"/>
  <c r="M38" i="8"/>
  <c r="D38" i="8"/>
  <c r="M37" i="8"/>
  <c r="D37" i="8"/>
  <c r="M36" i="8"/>
  <c r="D36" i="8"/>
  <c r="M35" i="8"/>
  <c r="D35" i="8"/>
  <c r="M34" i="8"/>
  <c r="D34" i="8"/>
  <c r="M33" i="8"/>
  <c r="D33" i="8"/>
  <c r="M32" i="8"/>
  <c r="D32" i="8"/>
  <c r="M31" i="8"/>
  <c r="D31" i="8"/>
  <c r="M30" i="8"/>
  <c r="D30" i="8"/>
  <c r="M29" i="8"/>
  <c r="D29" i="8"/>
  <c r="D28" i="8"/>
  <c r="M27" i="8"/>
  <c r="D27" i="8"/>
  <c r="M26" i="8"/>
  <c r="D26" i="8"/>
  <c r="M25" i="8"/>
  <c r="D25" i="8"/>
  <c r="M24" i="8"/>
  <c r="D24" i="8"/>
  <c r="M23" i="8"/>
  <c r="D23" i="8"/>
  <c r="M22" i="8"/>
  <c r="D22" i="8"/>
  <c r="M21" i="8"/>
  <c r="D21" i="8"/>
  <c r="M20" i="8"/>
  <c r="D20" i="8"/>
  <c r="M19" i="8"/>
  <c r="D19" i="8"/>
  <c r="M18" i="8"/>
  <c r="D18" i="8"/>
  <c r="M17" i="8"/>
  <c r="D17" i="8"/>
  <c r="M16" i="8"/>
  <c r="D16" i="8"/>
  <c r="M15" i="8"/>
  <c r="D15" i="8"/>
  <c r="M14" i="8"/>
  <c r="D14" i="8"/>
  <c r="M13" i="8"/>
  <c r="D13" i="8"/>
  <c r="M12" i="8"/>
  <c r="D12" i="8"/>
  <c r="M11" i="8"/>
  <c r="D11" i="8"/>
  <c r="M10" i="8"/>
  <c r="D10" i="8"/>
  <c r="M9" i="8"/>
  <c r="D9" i="8"/>
  <c r="M8" i="8"/>
  <c r="D8" i="8"/>
  <c r="M7" i="8"/>
  <c r="D7" i="8"/>
  <c r="M6" i="8"/>
  <c r="D6" i="8"/>
  <c r="M5" i="8"/>
  <c r="D5" i="8"/>
  <c r="M4" i="8"/>
  <c r="D4" i="8"/>
  <c r="K126" i="7"/>
  <c r="J126" i="7"/>
  <c r="I126" i="7"/>
  <c r="H126" i="7"/>
  <c r="G126" i="7"/>
  <c r="F126" i="7"/>
  <c r="K125" i="7"/>
  <c r="J125" i="7"/>
  <c r="I125" i="7"/>
  <c r="H125" i="7"/>
  <c r="G125" i="7"/>
  <c r="F125" i="7"/>
  <c r="K124" i="7"/>
  <c r="J124" i="7"/>
  <c r="I124" i="7"/>
  <c r="H124" i="7"/>
  <c r="G124" i="7"/>
  <c r="F124" i="7"/>
  <c r="K123" i="7"/>
  <c r="J123" i="7"/>
  <c r="I123" i="7"/>
  <c r="H123" i="7"/>
  <c r="G123" i="7"/>
  <c r="F123" i="7"/>
  <c r="K122" i="7"/>
  <c r="J122" i="7"/>
  <c r="I122" i="7"/>
  <c r="H122" i="7"/>
  <c r="G122" i="7"/>
  <c r="F122" i="7"/>
  <c r="K121" i="7"/>
  <c r="J121" i="7"/>
  <c r="I121" i="7"/>
  <c r="H121" i="7"/>
  <c r="G121" i="7"/>
  <c r="F121" i="7"/>
  <c r="K120" i="7"/>
  <c r="J120" i="7"/>
  <c r="I120" i="7"/>
  <c r="H120" i="7"/>
  <c r="G120" i="7"/>
  <c r="F120" i="7"/>
  <c r="K119" i="7"/>
  <c r="J119" i="7"/>
  <c r="I119" i="7"/>
  <c r="H119" i="7"/>
  <c r="G119" i="7"/>
  <c r="F119" i="7"/>
  <c r="K118" i="7"/>
  <c r="J118" i="7"/>
  <c r="I118" i="7"/>
  <c r="H118" i="7"/>
  <c r="G118" i="7"/>
  <c r="F118" i="7"/>
  <c r="K117" i="7"/>
  <c r="J117" i="7"/>
  <c r="I117" i="7"/>
  <c r="H117" i="7"/>
  <c r="G117" i="7"/>
  <c r="F117" i="7"/>
  <c r="K116" i="7"/>
  <c r="J116" i="7"/>
  <c r="I116" i="7"/>
  <c r="H116" i="7"/>
  <c r="G116" i="7"/>
  <c r="F116" i="7"/>
  <c r="K115" i="7"/>
  <c r="J115" i="7"/>
  <c r="I115" i="7"/>
  <c r="H115" i="7"/>
  <c r="G115" i="7"/>
  <c r="F115" i="7"/>
  <c r="K114" i="7"/>
  <c r="J114" i="7"/>
  <c r="I114" i="7"/>
  <c r="H114" i="7"/>
  <c r="G114" i="7"/>
  <c r="F114" i="7"/>
  <c r="K113" i="7"/>
  <c r="J113" i="7"/>
  <c r="I113" i="7"/>
  <c r="H113" i="7"/>
  <c r="G113" i="7"/>
  <c r="F113" i="7"/>
  <c r="K112" i="7"/>
  <c r="J112" i="7"/>
  <c r="I112" i="7"/>
  <c r="H112" i="7"/>
  <c r="G112" i="7"/>
  <c r="F112" i="7"/>
  <c r="K111" i="7"/>
  <c r="J111" i="7"/>
  <c r="I111" i="7"/>
  <c r="H111" i="7"/>
  <c r="G111" i="7"/>
  <c r="F111" i="7"/>
  <c r="K110" i="7"/>
  <c r="J110" i="7"/>
  <c r="I110" i="7"/>
  <c r="H110" i="7"/>
  <c r="G110" i="7"/>
  <c r="F110" i="7"/>
  <c r="K109" i="7"/>
  <c r="J109" i="7"/>
  <c r="I109" i="7"/>
  <c r="H109" i="7"/>
  <c r="G109" i="7"/>
  <c r="F109" i="7"/>
  <c r="K108" i="7"/>
  <c r="J108" i="7"/>
  <c r="I108" i="7"/>
  <c r="H108" i="7"/>
  <c r="G108" i="7"/>
  <c r="F108" i="7"/>
  <c r="K107" i="7"/>
  <c r="J107" i="7"/>
  <c r="I107" i="7"/>
  <c r="H107" i="7"/>
  <c r="G107" i="7"/>
  <c r="F107" i="7"/>
  <c r="K106" i="7"/>
  <c r="J106" i="7"/>
  <c r="I106" i="7"/>
  <c r="H106" i="7"/>
  <c r="G106" i="7"/>
  <c r="F106" i="7"/>
  <c r="K105" i="7"/>
  <c r="J105" i="7"/>
  <c r="I105" i="7"/>
  <c r="H105" i="7"/>
  <c r="G105" i="7"/>
  <c r="F105" i="7"/>
  <c r="K104" i="7"/>
  <c r="J104" i="7"/>
  <c r="I104" i="7"/>
  <c r="H104" i="7"/>
  <c r="G104" i="7"/>
  <c r="F104" i="7"/>
  <c r="K103" i="7"/>
  <c r="J103" i="7"/>
  <c r="I103" i="7"/>
  <c r="H103" i="7"/>
  <c r="G103" i="7"/>
  <c r="F103" i="7"/>
  <c r="K102" i="7"/>
  <c r="J102" i="7"/>
  <c r="I102" i="7"/>
  <c r="H102" i="7"/>
  <c r="G102" i="7"/>
  <c r="F102" i="7"/>
  <c r="K101" i="7"/>
  <c r="J101" i="7"/>
  <c r="I101" i="7"/>
  <c r="H101" i="7"/>
  <c r="G101" i="7"/>
  <c r="F101" i="7"/>
  <c r="K100" i="7"/>
  <c r="J100" i="7"/>
  <c r="I100" i="7"/>
  <c r="H100" i="7"/>
  <c r="G100" i="7"/>
  <c r="F100" i="7"/>
  <c r="K99" i="7"/>
  <c r="J99" i="7"/>
  <c r="I99" i="7"/>
  <c r="H99" i="7"/>
  <c r="G99" i="7"/>
  <c r="F99" i="7"/>
  <c r="K98" i="7"/>
  <c r="J98" i="7"/>
  <c r="I98" i="7"/>
  <c r="H98" i="7"/>
  <c r="G98" i="7"/>
  <c r="F98" i="7"/>
  <c r="K97" i="7"/>
  <c r="J97" i="7"/>
  <c r="I97" i="7"/>
  <c r="H97" i="7"/>
  <c r="G97" i="7"/>
  <c r="F97" i="7"/>
  <c r="K96" i="7"/>
  <c r="J96" i="7"/>
  <c r="I96" i="7"/>
  <c r="H96" i="7"/>
  <c r="G96" i="7"/>
  <c r="F96" i="7"/>
  <c r="K95" i="7"/>
  <c r="J95" i="7"/>
  <c r="I95" i="7"/>
  <c r="H95" i="7"/>
  <c r="G95" i="7"/>
  <c r="F95" i="7"/>
  <c r="K94" i="7"/>
  <c r="J94" i="7"/>
  <c r="I94" i="7"/>
  <c r="H94" i="7"/>
  <c r="G94" i="7"/>
  <c r="F94" i="7"/>
  <c r="K93" i="7"/>
  <c r="J93" i="7"/>
  <c r="I93" i="7"/>
  <c r="H93" i="7"/>
  <c r="G93" i="7"/>
  <c r="F93" i="7"/>
  <c r="K92" i="7"/>
  <c r="J92" i="7"/>
  <c r="I92" i="7"/>
  <c r="H92" i="7"/>
  <c r="G92" i="7"/>
  <c r="F92" i="7"/>
  <c r="K91" i="7"/>
  <c r="J91" i="7"/>
  <c r="I91" i="7"/>
  <c r="H91" i="7"/>
  <c r="G91" i="7"/>
  <c r="F91" i="7"/>
  <c r="K90" i="7"/>
  <c r="J90" i="7"/>
  <c r="I90" i="7"/>
  <c r="H90" i="7"/>
  <c r="G90" i="7"/>
  <c r="F90" i="7"/>
  <c r="K89" i="7"/>
  <c r="J89" i="7"/>
  <c r="I89" i="7"/>
  <c r="H89" i="7"/>
  <c r="G89" i="7"/>
  <c r="F89" i="7"/>
  <c r="K88" i="7"/>
  <c r="J88" i="7"/>
  <c r="I88" i="7"/>
  <c r="H88" i="7"/>
  <c r="G88" i="7"/>
  <c r="F88" i="7"/>
  <c r="K87" i="7"/>
  <c r="J87" i="7"/>
  <c r="I87" i="7"/>
  <c r="H87" i="7"/>
  <c r="G87" i="7"/>
  <c r="F87" i="7"/>
  <c r="K86" i="7"/>
  <c r="J86" i="7"/>
  <c r="I86" i="7"/>
  <c r="H86" i="7"/>
  <c r="G86" i="7"/>
  <c r="F86" i="7"/>
  <c r="K85" i="7"/>
  <c r="J85" i="7"/>
  <c r="I85" i="7"/>
  <c r="H85" i="7"/>
  <c r="G85" i="7"/>
  <c r="F85" i="7"/>
  <c r="K84" i="7"/>
  <c r="J84" i="7"/>
  <c r="I84" i="7"/>
  <c r="H84" i="7"/>
  <c r="G84" i="7"/>
  <c r="F84" i="7"/>
  <c r="K83" i="7"/>
  <c r="J83" i="7"/>
  <c r="I83" i="7"/>
  <c r="H83" i="7"/>
  <c r="G83" i="7"/>
  <c r="F83" i="7"/>
  <c r="K82" i="7"/>
  <c r="J82" i="7"/>
  <c r="I82" i="7"/>
  <c r="H82" i="7"/>
  <c r="G82" i="7"/>
  <c r="F82" i="7"/>
  <c r="K81" i="7"/>
  <c r="J81" i="7"/>
  <c r="I81" i="7"/>
  <c r="H81" i="7"/>
  <c r="G81" i="7"/>
  <c r="F81" i="7"/>
  <c r="K80" i="7"/>
  <c r="J80" i="7"/>
  <c r="I80" i="7"/>
  <c r="H80" i="7"/>
  <c r="G80" i="7"/>
  <c r="F80" i="7"/>
  <c r="K79" i="7"/>
  <c r="J79" i="7"/>
  <c r="I79" i="7"/>
  <c r="H79" i="7"/>
  <c r="G79" i="7"/>
  <c r="F79" i="7"/>
  <c r="K78" i="7"/>
  <c r="J78" i="7"/>
  <c r="I78" i="7"/>
  <c r="H78" i="7"/>
  <c r="G78" i="7"/>
  <c r="F78" i="7"/>
  <c r="K77" i="7"/>
  <c r="J77" i="7"/>
  <c r="I77" i="7"/>
  <c r="H77" i="7"/>
  <c r="G77" i="7"/>
  <c r="F77" i="7"/>
  <c r="K76" i="7"/>
  <c r="J76" i="7"/>
  <c r="I76" i="7"/>
  <c r="H76" i="7"/>
  <c r="G76" i="7"/>
  <c r="F76" i="7"/>
  <c r="K75" i="7"/>
  <c r="J75" i="7"/>
  <c r="I75" i="7"/>
  <c r="H75" i="7"/>
  <c r="G75" i="7"/>
  <c r="F75" i="7"/>
  <c r="K74" i="7"/>
  <c r="J74" i="7"/>
  <c r="I74" i="7"/>
  <c r="H74" i="7"/>
  <c r="G74" i="7"/>
  <c r="F74" i="7"/>
  <c r="K73" i="7"/>
  <c r="J73" i="7"/>
  <c r="I73" i="7"/>
  <c r="H73" i="7"/>
  <c r="G73" i="7"/>
  <c r="F73" i="7"/>
  <c r="K72" i="7"/>
  <c r="J72" i="7"/>
  <c r="I72" i="7"/>
  <c r="H72" i="7"/>
  <c r="G72" i="7"/>
  <c r="F72" i="7"/>
  <c r="K71" i="7"/>
  <c r="J71" i="7"/>
  <c r="I71" i="7"/>
  <c r="H71" i="7"/>
  <c r="G71" i="7"/>
  <c r="F71" i="7"/>
  <c r="K70" i="7"/>
  <c r="J70" i="7"/>
  <c r="I70" i="7"/>
  <c r="H70" i="7"/>
  <c r="G70" i="7"/>
  <c r="F70" i="7"/>
  <c r="K69" i="7"/>
  <c r="J69" i="7"/>
  <c r="I69" i="7"/>
  <c r="H69" i="7"/>
  <c r="G69" i="7"/>
  <c r="F69" i="7"/>
  <c r="K68" i="7"/>
  <c r="J68" i="7"/>
  <c r="I68" i="7"/>
  <c r="H68" i="7"/>
  <c r="G68" i="7"/>
  <c r="F68" i="7"/>
  <c r="K67" i="7"/>
  <c r="J67" i="7"/>
  <c r="I67" i="7"/>
  <c r="H67" i="7"/>
  <c r="G67" i="7"/>
  <c r="F67" i="7"/>
  <c r="K66" i="7"/>
  <c r="J66" i="7"/>
  <c r="I66" i="7"/>
  <c r="H66" i="7"/>
  <c r="G66" i="7"/>
  <c r="F66" i="7"/>
  <c r="K65" i="7"/>
  <c r="J65" i="7"/>
  <c r="I65" i="7"/>
  <c r="H65" i="7"/>
  <c r="G65" i="7"/>
  <c r="F65" i="7"/>
  <c r="K64" i="7"/>
  <c r="J64" i="7"/>
  <c r="I64" i="7"/>
  <c r="H64" i="7"/>
  <c r="G64" i="7"/>
  <c r="F64" i="7"/>
  <c r="K63" i="7"/>
  <c r="J63" i="7"/>
  <c r="I63" i="7"/>
  <c r="H63" i="7"/>
  <c r="G63" i="7"/>
  <c r="F63" i="7"/>
  <c r="K62" i="7"/>
  <c r="J62" i="7"/>
  <c r="I62" i="7"/>
  <c r="H62" i="7"/>
  <c r="G62" i="7"/>
  <c r="F62" i="7"/>
  <c r="K61" i="7"/>
  <c r="J61" i="7"/>
  <c r="I61" i="7"/>
  <c r="H61" i="7"/>
  <c r="G61" i="7"/>
  <c r="F61" i="7"/>
  <c r="K60" i="7"/>
  <c r="J60" i="7"/>
  <c r="I60" i="7"/>
  <c r="H60" i="7"/>
  <c r="G60" i="7"/>
  <c r="F60" i="7"/>
  <c r="K59" i="7"/>
  <c r="J59" i="7"/>
  <c r="I59" i="7"/>
  <c r="H59" i="7"/>
  <c r="G59" i="7"/>
  <c r="F59" i="7"/>
  <c r="K58" i="7"/>
  <c r="J58" i="7"/>
  <c r="I58" i="7"/>
  <c r="H58" i="7"/>
  <c r="G58" i="7"/>
  <c r="F58" i="7"/>
  <c r="K57" i="7"/>
  <c r="J57" i="7"/>
  <c r="I57" i="7"/>
  <c r="H57" i="7"/>
  <c r="G57" i="7"/>
  <c r="F57" i="7"/>
  <c r="K56" i="7"/>
  <c r="J56" i="7"/>
  <c r="I56" i="7"/>
  <c r="H56" i="7"/>
  <c r="G56" i="7"/>
  <c r="F56" i="7"/>
  <c r="K55" i="7"/>
  <c r="J55" i="7"/>
  <c r="I55" i="7"/>
  <c r="H55" i="7"/>
  <c r="G55" i="7"/>
  <c r="F55" i="7"/>
  <c r="K54" i="7"/>
  <c r="J54" i="7"/>
  <c r="I54" i="7"/>
  <c r="H54" i="7"/>
  <c r="G54" i="7"/>
  <c r="F54" i="7"/>
  <c r="K53" i="7"/>
  <c r="J53" i="7"/>
  <c r="I53" i="7"/>
  <c r="H53" i="7"/>
  <c r="G53" i="7"/>
  <c r="F53" i="7"/>
  <c r="K52" i="7"/>
  <c r="J52" i="7"/>
  <c r="I52" i="7"/>
  <c r="H52" i="7"/>
  <c r="G52" i="7"/>
  <c r="F52" i="7"/>
  <c r="K51" i="7"/>
  <c r="J51" i="7"/>
  <c r="I51" i="7"/>
  <c r="H51" i="7"/>
  <c r="G51" i="7"/>
  <c r="F51" i="7"/>
  <c r="K50" i="7"/>
  <c r="J50" i="7"/>
  <c r="I50" i="7"/>
  <c r="H50" i="7"/>
  <c r="G50" i="7"/>
  <c r="F50" i="7"/>
  <c r="K49" i="7"/>
  <c r="J49" i="7"/>
  <c r="I49" i="7"/>
  <c r="H49" i="7"/>
  <c r="G49" i="7"/>
  <c r="F49" i="7"/>
  <c r="K48" i="7"/>
  <c r="J48" i="7"/>
  <c r="I48" i="7"/>
  <c r="H48" i="7"/>
  <c r="G48" i="7"/>
  <c r="F48" i="7"/>
  <c r="K47" i="7"/>
  <c r="J47" i="7"/>
  <c r="I47" i="7"/>
  <c r="H47" i="7"/>
  <c r="G47" i="7"/>
  <c r="F47" i="7"/>
  <c r="K46" i="7"/>
  <c r="J46" i="7"/>
  <c r="I46" i="7"/>
  <c r="H46" i="7"/>
  <c r="G46" i="7"/>
  <c r="F46" i="7"/>
  <c r="K45" i="7"/>
  <c r="J45" i="7"/>
  <c r="I45" i="7"/>
  <c r="H45" i="7"/>
  <c r="G45" i="7"/>
  <c r="F45" i="7"/>
  <c r="K44" i="7"/>
  <c r="J44" i="7"/>
  <c r="I44" i="7"/>
  <c r="H44" i="7"/>
  <c r="G44" i="7"/>
  <c r="F44" i="7"/>
  <c r="K43" i="7"/>
  <c r="J43" i="7"/>
  <c r="I43" i="7"/>
  <c r="H43" i="7"/>
  <c r="G43" i="7"/>
  <c r="F43" i="7"/>
  <c r="K42" i="7"/>
  <c r="J42" i="7"/>
  <c r="I42" i="7"/>
  <c r="H42" i="7"/>
  <c r="G42" i="7"/>
  <c r="F42" i="7"/>
  <c r="K41" i="7"/>
  <c r="J41" i="7"/>
  <c r="I41" i="7"/>
  <c r="H41" i="7"/>
  <c r="G41" i="7"/>
  <c r="F41" i="7"/>
  <c r="K40" i="7"/>
  <c r="J40" i="7"/>
  <c r="I40" i="7"/>
  <c r="H40" i="7"/>
  <c r="G40" i="7"/>
  <c r="F40" i="7"/>
  <c r="K39" i="7"/>
  <c r="J39" i="7"/>
  <c r="I39" i="7"/>
  <c r="H39" i="7"/>
  <c r="G39" i="7"/>
  <c r="F39" i="7"/>
  <c r="K38" i="7"/>
  <c r="J38" i="7"/>
  <c r="I38" i="7"/>
  <c r="H38" i="7"/>
  <c r="G38" i="7"/>
  <c r="F38" i="7"/>
  <c r="K37" i="7"/>
  <c r="J37" i="7"/>
  <c r="I37" i="7"/>
  <c r="H37" i="7"/>
  <c r="G37" i="7"/>
  <c r="F37" i="7"/>
  <c r="K36" i="7"/>
  <c r="J36" i="7"/>
  <c r="I36" i="7"/>
  <c r="H36" i="7"/>
  <c r="G36" i="7"/>
  <c r="F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K31" i="7"/>
  <c r="J31" i="7"/>
  <c r="I31" i="7"/>
  <c r="H31" i="7"/>
  <c r="G31" i="7"/>
  <c r="F31" i="7"/>
  <c r="K30" i="7"/>
  <c r="J30" i="7"/>
  <c r="I30" i="7"/>
  <c r="H30" i="7"/>
  <c r="G30" i="7"/>
  <c r="F30" i="7"/>
  <c r="K29" i="7"/>
  <c r="J29" i="7"/>
  <c r="I29" i="7"/>
  <c r="H29" i="7"/>
  <c r="G29" i="7"/>
  <c r="F29" i="7"/>
  <c r="K28" i="7"/>
  <c r="J28" i="7"/>
  <c r="I28" i="7"/>
  <c r="H28" i="7"/>
  <c r="G28" i="7"/>
  <c r="F28" i="7"/>
  <c r="K27" i="7"/>
  <c r="J27" i="7"/>
  <c r="I27" i="7"/>
  <c r="H27" i="7"/>
  <c r="G27" i="7"/>
  <c r="F27" i="7"/>
  <c r="K26" i="7"/>
  <c r="J26" i="7"/>
  <c r="I26" i="7"/>
  <c r="H26" i="7"/>
  <c r="G26" i="7"/>
  <c r="F26" i="7"/>
  <c r="K25" i="7"/>
  <c r="J25" i="7"/>
  <c r="I25" i="7"/>
  <c r="H25" i="7"/>
  <c r="G25" i="7"/>
  <c r="F25" i="7"/>
  <c r="U24" i="7"/>
  <c r="Q24" i="7"/>
  <c r="K24" i="7"/>
  <c r="J24" i="7"/>
  <c r="I24" i="7"/>
  <c r="H24" i="7"/>
  <c r="G24" i="7"/>
  <c r="F24" i="7"/>
  <c r="U23" i="7"/>
  <c r="Q23" i="7"/>
  <c r="F116" i="8" s="1"/>
  <c r="K23" i="7"/>
  <c r="J23" i="7"/>
  <c r="I23" i="7"/>
  <c r="H23" i="7"/>
  <c r="G23" i="7"/>
  <c r="F23" i="7"/>
  <c r="U22" i="7"/>
  <c r="J110" i="8" s="1"/>
  <c r="Q22" i="7"/>
  <c r="I22" i="7"/>
  <c r="K22" i="7" s="1"/>
  <c r="F22" i="7"/>
  <c r="H22" i="7" s="1"/>
  <c r="U21" i="7"/>
  <c r="J104" i="8" s="1"/>
  <c r="Q21" i="7"/>
  <c r="F104" i="8" s="1"/>
  <c r="J21" i="7"/>
  <c r="I21" i="7"/>
  <c r="K21" i="7" s="1"/>
  <c r="F21" i="7"/>
  <c r="H21" i="7" s="1"/>
  <c r="U20" i="7"/>
  <c r="Q20" i="7"/>
  <c r="K20" i="7"/>
  <c r="J20" i="7"/>
  <c r="I20" i="7"/>
  <c r="H20" i="7"/>
  <c r="F20" i="7"/>
  <c r="G20" i="7" s="1"/>
  <c r="U19" i="7"/>
  <c r="J92" i="8" s="1"/>
  <c r="Q19" i="7"/>
  <c r="F92" i="8" s="1"/>
  <c r="K19" i="7"/>
  <c r="J19" i="7"/>
  <c r="I19" i="7"/>
  <c r="H19" i="7"/>
  <c r="G19" i="7"/>
  <c r="F19" i="7"/>
  <c r="U18" i="7"/>
  <c r="Q18" i="7"/>
  <c r="F86" i="8" s="1"/>
  <c r="J18" i="7"/>
  <c r="I18" i="7"/>
  <c r="K18" i="7" s="1"/>
  <c r="H18" i="7"/>
  <c r="F18" i="7"/>
  <c r="G18" i="7" s="1"/>
  <c r="U17" i="7"/>
  <c r="J80" i="8" s="1"/>
  <c r="Q17" i="7"/>
  <c r="F80" i="8" s="1"/>
  <c r="K17" i="7"/>
  <c r="J17" i="7"/>
  <c r="I17" i="7"/>
  <c r="H17" i="7"/>
  <c r="G17" i="7"/>
  <c r="F17" i="7"/>
  <c r="U16" i="7"/>
  <c r="J74" i="8" s="1"/>
  <c r="Q16" i="7"/>
  <c r="F74" i="8" s="1"/>
  <c r="K16" i="7"/>
  <c r="J16" i="7"/>
  <c r="I16" i="7"/>
  <c r="H16" i="7"/>
  <c r="G16" i="7"/>
  <c r="F16" i="7"/>
  <c r="U15" i="7"/>
  <c r="J68" i="8" s="1"/>
  <c r="Q15" i="7"/>
  <c r="F68" i="8" s="1"/>
  <c r="K15" i="7"/>
  <c r="J15" i="7"/>
  <c r="I15" i="7"/>
  <c r="H15" i="7"/>
  <c r="G15" i="7"/>
  <c r="F15" i="7"/>
  <c r="U14" i="7"/>
  <c r="J62" i="8" s="1"/>
  <c r="Q14" i="7"/>
  <c r="F62" i="8" s="1"/>
  <c r="K14" i="7"/>
  <c r="J14" i="7"/>
  <c r="I14" i="7"/>
  <c r="H14" i="7"/>
  <c r="G14" i="7"/>
  <c r="F14" i="7"/>
  <c r="U13" i="7"/>
  <c r="J56" i="8" s="1"/>
  <c r="Q13" i="7"/>
  <c r="F56" i="8" s="1"/>
  <c r="K13" i="7"/>
  <c r="J13" i="7"/>
  <c r="I13" i="7"/>
  <c r="H13" i="7"/>
  <c r="G13" i="7"/>
  <c r="F13" i="7"/>
  <c r="U12" i="7"/>
  <c r="J50" i="8" s="1"/>
  <c r="Q12" i="7"/>
  <c r="F50" i="8" s="1"/>
  <c r="K12" i="7"/>
  <c r="J12" i="7"/>
  <c r="I12" i="7"/>
  <c r="H12" i="7"/>
  <c r="G12" i="7"/>
  <c r="F12" i="7"/>
  <c r="U11" i="7"/>
  <c r="J44" i="8" s="1"/>
  <c r="Q11" i="7"/>
  <c r="F44" i="8" s="1"/>
  <c r="K11" i="7"/>
  <c r="J11" i="7"/>
  <c r="I11" i="7"/>
  <c r="H11" i="7"/>
  <c r="G11" i="7"/>
  <c r="F11" i="7"/>
  <c r="U10" i="7"/>
  <c r="J38" i="8" s="1"/>
  <c r="Q10" i="7"/>
  <c r="F38" i="8" s="1"/>
  <c r="K10" i="7"/>
  <c r="J10" i="7"/>
  <c r="I10" i="7"/>
  <c r="H10" i="7"/>
  <c r="G10" i="7"/>
  <c r="F10" i="7"/>
  <c r="U9" i="7"/>
  <c r="Q9" i="7"/>
  <c r="K9" i="7"/>
  <c r="J9" i="7"/>
  <c r="I9" i="7"/>
  <c r="H9" i="7"/>
  <c r="G9" i="7"/>
  <c r="F9" i="7"/>
  <c r="U8" i="7"/>
  <c r="J27" i="8" s="1"/>
  <c r="Q8" i="7"/>
  <c r="F27" i="8" s="1"/>
  <c r="K8" i="7"/>
  <c r="J8" i="7"/>
  <c r="I8" i="7"/>
  <c r="H8" i="7"/>
  <c r="G8" i="7"/>
  <c r="F8" i="7"/>
  <c r="U7" i="7"/>
  <c r="Q7" i="7"/>
  <c r="F21" i="8" s="1"/>
  <c r="K7" i="7"/>
  <c r="J7" i="7"/>
  <c r="I7" i="7"/>
  <c r="H7" i="7"/>
  <c r="G7" i="7"/>
  <c r="F7" i="7"/>
  <c r="U6" i="7"/>
  <c r="J15" i="8" s="1"/>
  <c r="Q6" i="7"/>
  <c r="F15" i="8" s="1"/>
  <c r="K6" i="7"/>
  <c r="J6" i="7"/>
  <c r="I6" i="7"/>
  <c r="H6" i="7"/>
  <c r="G6" i="7"/>
  <c r="F6" i="7"/>
  <c r="U5" i="7"/>
  <c r="J9" i="8" s="1"/>
  <c r="Q5" i="7"/>
  <c r="F9" i="8" s="1"/>
  <c r="K5" i="7"/>
  <c r="J5" i="7"/>
  <c r="I5" i="7"/>
  <c r="H5" i="7"/>
  <c r="G5" i="7"/>
  <c r="F5" i="7"/>
  <c r="P13" i="7" s="1"/>
  <c r="K126" i="6"/>
  <c r="J126" i="6"/>
  <c r="I126" i="6"/>
  <c r="H126" i="6"/>
  <c r="G126" i="6"/>
  <c r="F126" i="6"/>
  <c r="K125" i="6"/>
  <c r="J125" i="6"/>
  <c r="I125" i="6"/>
  <c r="H125" i="6"/>
  <c r="G125" i="6"/>
  <c r="F125" i="6"/>
  <c r="K124" i="6"/>
  <c r="J124" i="6"/>
  <c r="I124" i="6"/>
  <c r="H124" i="6"/>
  <c r="G124" i="6"/>
  <c r="F124" i="6"/>
  <c r="K123" i="6"/>
  <c r="J123" i="6"/>
  <c r="I123" i="6"/>
  <c r="H123" i="6"/>
  <c r="G123" i="6"/>
  <c r="F123" i="6"/>
  <c r="K122" i="6"/>
  <c r="J122" i="6"/>
  <c r="I122" i="6"/>
  <c r="H122" i="6"/>
  <c r="G122" i="6"/>
  <c r="F122" i="6"/>
  <c r="K121" i="6"/>
  <c r="J121" i="6"/>
  <c r="I121" i="6"/>
  <c r="H121" i="6"/>
  <c r="G121" i="6"/>
  <c r="F121" i="6"/>
  <c r="K120" i="6"/>
  <c r="J120" i="6"/>
  <c r="I120" i="6"/>
  <c r="H120" i="6"/>
  <c r="G120" i="6"/>
  <c r="F120" i="6"/>
  <c r="K119" i="6"/>
  <c r="J119" i="6"/>
  <c r="I119" i="6"/>
  <c r="H119" i="6"/>
  <c r="G119" i="6"/>
  <c r="F119" i="6"/>
  <c r="K118" i="6"/>
  <c r="J118" i="6"/>
  <c r="I118" i="6"/>
  <c r="H118" i="6"/>
  <c r="G118" i="6"/>
  <c r="F118" i="6"/>
  <c r="K117" i="6"/>
  <c r="J117" i="6"/>
  <c r="I117" i="6"/>
  <c r="H117" i="6"/>
  <c r="G117" i="6"/>
  <c r="F117" i="6"/>
  <c r="K116" i="6"/>
  <c r="J116" i="6"/>
  <c r="I116" i="6"/>
  <c r="H116" i="6"/>
  <c r="G116" i="6"/>
  <c r="F116" i="6"/>
  <c r="K115" i="6"/>
  <c r="J115" i="6"/>
  <c r="I115" i="6"/>
  <c r="H115" i="6"/>
  <c r="G115" i="6"/>
  <c r="F115" i="6"/>
  <c r="K114" i="6"/>
  <c r="J114" i="6"/>
  <c r="I114" i="6"/>
  <c r="H114" i="6"/>
  <c r="G114" i="6"/>
  <c r="F114" i="6"/>
  <c r="K113" i="6"/>
  <c r="J113" i="6"/>
  <c r="I113" i="6"/>
  <c r="H113" i="6"/>
  <c r="G113" i="6"/>
  <c r="F113" i="6"/>
  <c r="K112" i="6"/>
  <c r="J112" i="6"/>
  <c r="I112" i="6"/>
  <c r="H112" i="6"/>
  <c r="G112" i="6"/>
  <c r="F112" i="6"/>
  <c r="K111" i="6"/>
  <c r="J111" i="6"/>
  <c r="I111" i="6"/>
  <c r="H111" i="6"/>
  <c r="G111" i="6"/>
  <c r="F111" i="6"/>
  <c r="K110" i="6"/>
  <c r="J110" i="6"/>
  <c r="I110" i="6"/>
  <c r="H110" i="6"/>
  <c r="G110" i="6"/>
  <c r="F110" i="6"/>
  <c r="K109" i="6"/>
  <c r="J109" i="6"/>
  <c r="I109" i="6"/>
  <c r="H109" i="6"/>
  <c r="G109" i="6"/>
  <c r="F109" i="6"/>
  <c r="K108" i="6"/>
  <c r="J108" i="6"/>
  <c r="I108" i="6"/>
  <c r="H108" i="6"/>
  <c r="G108" i="6"/>
  <c r="F108" i="6"/>
  <c r="K107" i="6"/>
  <c r="J107" i="6"/>
  <c r="I107" i="6"/>
  <c r="H107" i="6"/>
  <c r="G107" i="6"/>
  <c r="F107" i="6"/>
  <c r="K106" i="6"/>
  <c r="J106" i="6"/>
  <c r="I106" i="6"/>
  <c r="H106" i="6"/>
  <c r="G106" i="6"/>
  <c r="F106" i="6"/>
  <c r="K105" i="6"/>
  <c r="J105" i="6"/>
  <c r="I105" i="6"/>
  <c r="H105" i="6"/>
  <c r="G105" i="6"/>
  <c r="F105" i="6"/>
  <c r="K104" i="6"/>
  <c r="J104" i="6"/>
  <c r="I104" i="6"/>
  <c r="H104" i="6"/>
  <c r="G104" i="6"/>
  <c r="F104" i="6"/>
  <c r="K103" i="6"/>
  <c r="J103" i="6"/>
  <c r="I103" i="6"/>
  <c r="H103" i="6"/>
  <c r="G103" i="6"/>
  <c r="F103" i="6"/>
  <c r="K102" i="6"/>
  <c r="J102" i="6"/>
  <c r="I102" i="6"/>
  <c r="H102" i="6"/>
  <c r="G102" i="6"/>
  <c r="F102" i="6"/>
  <c r="K101" i="6"/>
  <c r="J101" i="6"/>
  <c r="I101" i="6"/>
  <c r="H101" i="6"/>
  <c r="G101" i="6"/>
  <c r="F101" i="6"/>
  <c r="K100" i="6"/>
  <c r="J100" i="6"/>
  <c r="I100" i="6"/>
  <c r="H100" i="6"/>
  <c r="G100" i="6"/>
  <c r="F100" i="6"/>
  <c r="K99" i="6"/>
  <c r="J99" i="6"/>
  <c r="I99" i="6"/>
  <c r="H99" i="6"/>
  <c r="G99" i="6"/>
  <c r="F99" i="6"/>
  <c r="K98" i="6"/>
  <c r="J98" i="6"/>
  <c r="I98" i="6"/>
  <c r="H98" i="6"/>
  <c r="G98" i="6"/>
  <c r="F98" i="6"/>
  <c r="K97" i="6"/>
  <c r="J97" i="6"/>
  <c r="I97" i="6"/>
  <c r="H97" i="6"/>
  <c r="G97" i="6"/>
  <c r="F97" i="6"/>
  <c r="K96" i="6"/>
  <c r="J96" i="6"/>
  <c r="I96" i="6"/>
  <c r="H96" i="6"/>
  <c r="G96" i="6"/>
  <c r="F96" i="6"/>
  <c r="K95" i="6"/>
  <c r="J95" i="6"/>
  <c r="I95" i="6"/>
  <c r="H95" i="6"/>
  <c r="G95" i="6"/>
  <c r="F95" i="6"/>
  <c r="K94" i="6"/>
  <c r="J94" i="6"/>
  <c r="I94" i="6"/>
  <c r="H94" i="6"/>
  <c r="G94" i="6"/>
  <c r="F94" i="6"/>
  <c r="K93" i="6"/>
  <c r="J93" i="6"/>
  <c r="I93" i="6"/>
  <c r="H93" i="6"/>
  <c r="G93" i="6"/>
  <c r="F93" i="6"/>
  <c r="K92" i="6"/>
  <c r="J92" i="6"/>
  <c r="I92" i="6"/>
  <c r="H92" i="6"/>
  <c r="G92" i="6"/>
  <c r="F92" i="6"/>
  <c r="K91" i="6"/>
  <c r="J91" i="6"/>
  <c r="I91" i="6"/>
  <c r="H91" i="6"/>
  <c r="G91" i="6"/>
  <c r="F91" i="6"/>
  <c r="K90" i="6"/>
  <c r="J90" i="6"/>
  <c r="I90" i="6"/>
  <c r="H90" i="6"/>
  <c r="G90" i="6"/>
  <c r="F90" i="6"/>
  <c r="K89" i="6"/>
  <c r="J89" i="6"/>
  <c r="I89" i="6"/>
  <c r="H89" i="6"/>
  <c r="G89" i="6"/>
  <c r="F89" i="6"/>
  <c r="K88" i="6"/>
  <c r="J88" i="6"/>
  <c r="I88" i="6"/>
  <c r="H88" i="6"/>
  <c r="G88" i="6"/>
  <c r="F88" i="6"/>
  <c r="K87" i="6"/>
  <c r="J87" i="6"/>
  <c r="I87" i="6"/>
  <c r="H87" i="6"/>
  <c r="G87" i="6"/>
  <c r="F87" i="6"/>
  <c r="K86" i="6"/>
  <c r="J86" i="6"/>
  <c r="I86" i="6"/>
  <c r="H86" i="6"/>
  <c r="G86" i="6"/>
  <c r="F86" i="6"/>
  <c r="K85" i="6"/>
  <c r="J85" i="6"/>
  <c r="I85" i="6"/>
  <c r="H85" i="6"/>
  <c r="G85" i="6"/>
  <c r="F85" i="6"/>
  <c r="K84" i="6"/>
  <c r="J84" i="6"/>
  <c r="I84" i="6"/>
  <c r="H84" i="6"/>
  <c r="G84" i="6"/>
  <c r="F84" i="6"/>
  <c r="K83" i="6"/>
  <c r="J83" i="6"/>
  <c r="I83" i="6"/>
  <c r="H83" i="6"/>
  <c r="G83" i="6"/>
  <c r="F83" i="6"/>
  <c r="K82" i="6"/>
  <c r="J82" i="6"/>
  <c r="I82" i="6"/>
  <c r="H82" i="6"/>
  <c r="G82" i="6"/>
  <c r="F82" i="6"/>
  <c r="K81" i="6"/>
  <c r="J81" i="6"/>
  <c r="I81" i="6"/>
  <c r="H81" i="6"/>
  <c r="G81" i="6"/>
  <c r="F81" i="6"/>
  <c r="K80" i="6"/>
  <c r="J80" i="6"/>
  <c r="I80" i="6"/>
  <c r="H80" i="6"/>
  <c r="G80" i="6"/>
  <c r="F80" i="6"/>
  <c r="K79" i="6"/>
  <c r="J79" i="6"/>
  <c r="I79" i="6"/>
  <c r="H79" i="6"/>
  <c r="G79" i="6"/>
  <c r="F79" i="6"/>
  <c r="K78" i="6"/>
  <c r="J78" i="6"/>
  <c r="I78" i="6"/>
  <c r="H78" i="6"/>
  <c r="G78" i="6"/>
  <c r="F78" i="6"/>
  <c r="K77" i="6"/>
  <c r="J77" i="6"/>
  <c r="I77" i="6"/>
  <c r="H77" i="6"/>
  <c r="G77" i="6"/>
  <c r="F77" i="6"/>
  <c r="K76" i="6"/>
  <c r="J76" i="6"/>
  <c r="I76" i="6"/>
  <c r="H76" i="6"/>
  <c r="G76" i="6"/>
  <c r="F76" i="6"/>
  <c r="K75" i="6"/>
  <c r="J75" i="6"/>
  <c r="I75" i="6"/>
  <c r="H75" i="6"/>
  <c r="G75" i="6"/>
  <c r="F75" i="6"/>
  <c r="K74" i="6"/>
  <c r="J74" i="6"/>
  <c r="I74" i="6"/>
  <c r="H74" i="6"/>
  <c r="G74" i="6"/>
  <c r="F74" i="6"/>
  <c r="K73" i="6"/>
  <c r="J73" i="6"/>
  <c r="I73" i="6"/>
  <c r="H73" i="6"/>
  <c r="G73" i="6"/>
  <c r="F73" i="6"/>
  <c r="K72" i="6"/>
  <c r="J72" i="6"/>
  <c r="I72" i="6"/>
  <c r="H72" i="6"/>
  <c r="G72" i="6"/>
  <c r="F72" i="6"/>
  <c r="K71" i="6"/>
  <c r="J71" i="6"/>
  <c r="I71" i="6"/>
  <c r="H71" i="6"/>
  <c r="G71" i="6"/>
  <c r="F71" i="6"/>
  <c r="K70" i="6"/>
  <c r="J70" i="6"/>
  <c r="I70" i="6"/>
  <c r="H70" i="6"/>
  <c r="G70" i="6"/>
  <c r="F70" i="6"/>
  <c r="K69" i="6"/>
  <c r="J69" i="6"/>
  <c r="I69" i="6"/>
  <c r="H69" i="6"/>
  <c r="G69" i="6"/>
  <c r="F69" i="6"/>
  <c r="K68" i="6"/>
  <c r="J68" i="6"/>
  <c r="I68" i="6"/>
  <c r="H68" i="6"/>
  <c r="G68" i="6"/>
  <c r="F68" i="6"/>
  <c r="K67" i="6"/>
  <c r="J67" i="6"/>
  <c r="I67" i="6"/>
  <c r="H67" i="6"/>
  <c r="G67" i="6"/>
  <c r="F67" i="6"/>
  <c r="K66" i="6"/>
  <c r="J66" i="6"/>
  <c r="I66" i="6"/>
  <c r="H66" i="6"/>
  <c r="G66" i="6"/>
  <c r="F66" i="6"/>
  <c r="K65" i="6"/>
  <c r="J65" i="6"/>
  <c r="I65" i="6"/>
  <c r="H65" i="6"/>
  <c r="G65" i="6"/>
  <c r="F65" i="6"/>
  <c r="K64" i="6"/>
  <c r="J64" i="6"/>
  <c r="I64" i="6"/>
  <c r="H64" i="6"/>
  <c r="G64" i="6"/>
  <c r="F64" i="6"/>
  <c r="K63" i="6"/>
  <c r="J63" i="6"/>
  <c r="I63" i="6"/>
  <c r="H63" i="6"/>
  <c r="G63" i="6"/>
  <c r="F63" i="6"/>
  <c r="K62" i="6"/>
  <c r="J62" i="6"/>
  <c r="I62" i="6"/>
  <c r="H62" i="6"/>
  <c r="G62" i="6"/>
  <c r="F62" i="6"/>
  <c r="K61" i="6"/>
  <c r="J61" i="6"/>
  <c r="I61" i="6"/>
  <c r="H61" i="6"/>
  <c r="G61" i="6"/>
  <c r="F61" i="6"/>
  <c r="K60" i="6"/>
  <c r="J60" i="6"/>
  <c r="I60" i="6"/>
  <c r="H60" i="6"/>
  <c r="G60" i="6"/>
  <c r="F60" i="6"/>
  <c r="K59" i="6"/>
  <c r="J59" i="6"/>
  <c r="I59" i="6"/>
  <c r="H59" i="6"/>
  <c r="G59" i="6"/>
  <c r="F59" i="6"/>
  <c r="K58" i="6"/>
  <c r="J58" i="6"/>
  <c r="I58" i="6"/>
  <c r="H58" i="6"/>
  <c r="G58" i="6"/>
  <c r="F58" i="6"/>
  <c r="K57" i="6"/>
  <c r="J57" i="6"/>
  <c r="I57" i="6"/>
  <c r="H57" i="6"/>
  <c r="G57" i="6"/>
  <c r="F57" i="6"/>
  <c r="K56" i="6"/>
  <c r="J56" i="6"/>
  <c r="I56" i="6"/>
  <c r="H56" i="6"/>
  <c r="G56" i="6"/>
  <c r="F56" i="6"/>
  <c r="K55" i="6"/>
  <c r="J55" i="6"/>
  <c r="I55" i="6"/>
  <c r="H55" i="6"/>
  <c r="G55" i="6"/>
  <c r="F55" i="6"/>
  <c r="K54" i="6"/>
  <c r="J54" i="6"/>
  <c r="I54" i="6"/>
  <c r="H54" i="6"/>
  <c r="G54" i="6"/>
  <c r="F54" i="6"/>
  <c r="K53" i="6"/>
  <c r="J53" i="6"/>
  <c r="I53" i="6"/>
  <c r="H53" i="6"/>
  <c r="G53" i="6"/>
  <c r="F53" i="6"/>
  <c r="K52" i="6"/>
  <c r="J52" i="6"/>
  <c r="I52" i="6"/>
  <c r="H52" i="6"/>
  <c r="G52" i="6"/>
  <c r="F52" i="6"/>
  <c r="K51" i="6"/>
  <c r="J51" i="6"/>
  <c r="I51" i="6"/>
  <c r="H51" i="6"/>
  <c r="G51" i="6"/>
  <c r="F51" i="6"/>
  <c r="K50" i="6"/>
  <c r="J50" i="6"/>
  <c r="I50" i="6"/>
  <c r="H50" i="6"/>
  <c r="G50" i="6"/>
  <c r="F50" i="6"/>
  <c r="K49" i="6"/>
  <c r="J49" i="6"/>
  <c r="I49" i="6"/>
  <c r="H49" i="6"/>
  <c r="G49" i="6"/>
  <c r="F49" i="6"/>
  <c r="K48" i="6"/>
  <c r="J48" i="6"/>
  <c r="I48" i="6"/>
  <c r="H48" i="6"/>
  <c r="G48" i="6"/>
  <c r="F48" i="6"/>
  <c r="K47" i="6"/>
  <c r="J47" i="6"/>
  <c r="I47" i="6"/>
  <c r="H47" i="6"/>
  <c r="G47" i="6"/>
  <c r="F47" i="6"/>
  <c r="K46" i="6"/>
  <c r="J46" i="6"/>
  <c r="I46" i="6"/>
  <c r="H46" i="6"/>
  <c r="G46" i="6"/>
  <c r="F46" i="6"/>
  <c r="K45" i="6"/>
  <c r="J45" i="6"/>
  <c r="I45" i="6"/>
  <c r="H45" i="6"/>
  <c r="G45" i="6"/>
  <c r="F45" i="6"/>
  <c r="K44" i="6"/>
  <c r="J44" i="6"/>
  <c r="I44" i="6"/>
  <c r="H44" i="6"/>
  <c r="G44" i="6"/>
  <c r="F44" i="6"/>
  <c r="K43" i="6"/>
  <c r="J43" i="6"/>
  <c r="I43" i="6"/>
  <c r="H43" i="6"/>
  <c r="G43" i="6"/>
  <c r="F43" i="6"/>
  <c r="K42" i="6"/>
  <c r="J42" i="6"/>
  <c r="I42" i="6"/>
  <c r="H42" i="6"/>
  <c r="G42" i="6"/>
  <c r="F42" i="6"/>
  <c r="K41" i="6"/>
  <c r="J41" i="6"/>
  <c r="I41" i="6"/>
  <c r="H41" i="6"/>
  <c r="G41" i="6"/>
  <c r="F41" i="6"/>
  <c r="K40" i="6"/>
  <c r="J40" i="6"/>
  <c r="I40" i="6"/>
  <c r="H40" i="6"/>
  <c r="G40" i="6"/>
  <c r="F40" i="6"/>
  <c r="K39" i="6"/>
  <c r="J39" i="6"/>
  <c r="I39" i="6"/>
  <c r="H39" i="6"/>
  <c r="G39" i="6"/>
  <c r="F39" i="6"/>
  <c r="K38" i="6"/>
  <c r="J38" i="6"/>
  <c r="I38" i="6"/>
  <c r="H38" i="6"/>
  <c r="G38" i="6"/>
  <c r="F38" i="6"/>
  <c r="K37" i="6"/>
  <c r="J37" i="6"/>
  <c r="I37" i="6"/>
  <c r="H37" i="6"/>
  <c r="G37" i="6"/>
  <c r="F37" i="6"/>
  <c r="K36" i="6"/>
  <c r="J36" i="6"/>
  <c r="I36" i="6"/>
  <c r="H36" i="6"/>
  <c r="G36" i="6"/>
  <c r="F36" i="6"/>
  <c r="K35" i="6"/>
  <c r="J35" i="6"/>
  <c r="I35" i="6"/>
  <c r="H35" i="6"/>
  <c r="G35" i="6"/>
  <c r="F35" i="6"/>
  <c r="K34" i="6"/>
  <c r="J34" i="6"/>
  <c r="I34" i="6"/>
  <c r="H34" i="6"/>
  <c r="G34" i="6"/>
  <c r="F34" i="6"/>
  <c r="K33" i="6"/>
  <c r="J33" i="6"/>
  <c r="I33" i="6"/>
  <c r="H33" i="6"/>
  <c r="G33" i="6"/>
  <c r="F33" i="6"/>
  <c r="K32" i="6"/>
  <c r="J32" i="6"/>
  <c r="I32" i="6"/>
  <c r="H32" i="6"/>
  <c r="G32" i="6"/>
  <c r="F32" i="6"/>
  <c r="K31" i="6"/>
  <c r="J31" i="6"/>
  <c r="I31" i="6"/>
  <c r="H31" i="6"/>
  <c r="G31" i="6"/>
  <c r="F31" i="6"/>
  <c r="K30" i="6"/>
  <c r="J30" i="6"/>
  <c r="I30" i="6"/>
  <c r="H30" i="6"/>
  <c r="G30" i="6"/>
  <c r="F30" i="6"/>
  <c r="K29" i="6"/>
  <c r="J29" i="6"/>
  <c r="I29" i="6"/>
  <c r="H29" i="6"/>
  <c r="G29" i="6"/>
  <c r="F29" i="6"/>
  <c r="K28" i="6"/>
  <c r="J28" i="6"/>
  <c r="I28" i="6"/>
  <c r="H28" i="6"/>
  <c r="G28" i="6"/>
  <c r="F28" i="6"/>
  <c r="K27" i="6"/>
  <c r="J27" i="6"/>
  <c r="I27" i="6"/>
  <c r="H27" i="6"/>
  <c r="G27" i="6"/>
  <c r="F27" i="6"/>
  <c r="K26" i="6"/>
  <c r="J26" i="6"/>
  <c r="I26" i="6"/>
  <c r="H26" i="6"/>
  <c r="G26" i="6"/>
  <c r="F26" i="6"/>
  <c r="K25" i="6"/>
  <c r="J25" i="6"/>
  <c r="I25" i="6"/>
  <c r="H25" i="6"/>
  <c r="G25" i="6"/>
  <c r="F25" i="6"/>
  <c r="U24" i="6"/>
  <c r="J121" i="8" s="1"/>
  <c r="Q24" i="6"/>
  <c r="F121" i="8" s="1"/>
  <c r="K24" i="6"/>
  <c r="J24" i="6"/>
  <c r="I24" i="6"/>
  <c r="H24" i="6"/>
  <c r="F24" i="6"/>
  <c r="G24" i="6" s="1"/>
  <c r="U23" i="6"/>
  <c r="J115" i="8" s="1"/>
  <c r="Q23" i="6"/>
  <c r="J23" i="6"/>
  <c r="I23" i="6"/>
  <c r="K23" i="6" s="1"/>
  <c r="F23" i="6"/>
  <c r="H23" i="6" s="1"/>
  <c r="U22" i="6"/>
  <c r="J109" i="8" s="1"/>
  <c r="Q22" i="6"/>
  <c r="F109" i="8" s="1"/>
  <c r="J22" i="6"/>
  <c r="I22" i="6"/>
  <c r="K22" i="6" s="1"/>
  <c r="H22" i="6"/>
  <c r="G22" i="6"/>
  <c r="F22" i="6"/>
  <c r="U21" i="6"/>
  <c r="Q21" i="6"/>
  <c r="F103" i="8" s="1"/>
  <c r="J21" i="6"/>
  <c r="I21" i="6"/>
  <c r="K21" i="6" s="1"/>
  <c r="F21" i="6"/>
  <c r="H21" i="6" s="1"/>
  <c r="U20" i="6"/>
  <c r="J97" i="8" s="1"/>
  <c r="Q20" i="6"/>
  <c r="F97" i="8" s="1"/>
  <c r="K20" i="6"/>
  <c r="J20" i="6"/>
  <c r="I20" i="6"/>
  <c r="H20" i="6"/>
  <c r="G20" i="6"/>
  <c r="F20" i="6"/>
  <c r="U19" i="6"/>
  <c r="J91" i="8" s="1"/>
  <c r="Q19" i="6"/>
  <c r="F91" i="8" s="1"/>
  <c r="I19" i="6"/>
  <c r="F19" i="6"/>
  <c r="H19" i="6" s="1"/>
  <c r="U18" i="6"/>
  <c r="J85" i="8" s="1"/>
  <c r="Q18" i="6"/>
  <c r="F85" i="8" s="1"/>
  <c r="K18" i="6"/>
  <c r="J18" i="6"/>
  <c r="I18" i="6"/>
  <c r="H18" i="6"/>
  <c r="G18" i="6"/>
  <c r="F18" i="6"/>
  <c r="U17" i="6"/>
  <c r="J79" i="8" s="1"/>
  <c r="Q17" i="6"/>
  <c r="J17" i="6"/>
  <c r="I17" i="6"/>
  <c r="K17" i="6" s="1"/>
  <c r="F17" i="6"/>
  <c r="H17" i="6" s="1"/>
  <c r="U16" i="6"/>
  <c r="J73" i="8" s="1"/>
  <c r="Q16" i="6"/>
  <c r="F73" i="8" s="1"/>
  <c r="J16" i="6"/>
  <c r="I16" i="6"/>
  <c r="K16" i="6" s="1"/>
  <c r="H16" i="6"/>
  <c r="G16" i="6"/>
  <c r="F16" i="6"/>
  <c r="U15" i="6"/>
  <c r="Q15" i="6"/>
  <c r="F67" i="8" s="1"/>
  <c r="J15" i="6"/>
  <c r="I15" i="6"/>
  <c r="K15" i="6" s="1"/>
  <c r="F15" i="6"/>
  <c r="H15" i="6" s="1"/>
  <c r="U14" i="6"/>
  <c r="J61" i="8" s="1"/>
  <c r="Q14" i="6"/>
  <c r="F61" i="8" s="1"/>
  <c r="K14" i="6"/>
  <c r="J14" i="6"/>
  <c r="I14" i="6"/>
  <c r="H14" i="6"/>
  <c r="G14" i="6"/>
  <c r="F14" i="6"/>
  <c r="U13" i="6"/>
  <c r="J55" i="8" s="1"/>
  <c r="Q13" i="6"/>
  <c r="F55" i="8" s="1"/>
  <c r="K13" i="6"/>
  <c r="J13" i="6"/>
  <c r="I13" i="6"/>
  <c r="H13" i="6"/>
  <c r="G13" i="6"/>
  <c r="F13" i="6"/>
  <c r="U12" i="6"/>
  <c r="J49" i="8" s="1"/>
  <c r="Q12" i="6"/>
  <c r="F49" i="8" s="1"/>
  <c r="K12" i="6"/>
  <c r="J12" i="6"/>
  <c r="I12" i="6"/>
  <c r="H12" i="6"/>
  <c r="F12" i="6"/>
  <c r="G12" i="6" s="1"/>
  <c r="U11" i="6"/>
  <c r="J43" i="8" s="1"/>
  <c r="Q11" i="6"/>
  <c r="J11" i="6"/>
  <c r="I11" i="6"/>
  <c r="K11" i="6" s="1"/>
  <c r="F11" i="6"/>
  <c r="U10" i="6"/>
  <c r="J37" i="8" s="1"/>
  <c r="Q10" i="6"/>
  <c r="F37" i="8" s="1"/>
  <c r="P10" i="6"/>
  <c r="J10" i="6"/>
  <c r="I10" i="6"/>
  <c r="K10" i="6" s="1"/>
  <c r="H10" i="6"/>
  <c r="F10" i="6"/>
  <c r="G10" i="6" s="1"/>
  <c r="U9" i="6"/>
  <c r="Q9" i="6"/>
  <c r="F32" i="8" s="1"/>
  <c r="J9" i="6"/>
  <c r="I9" i="6"/>
  <c r="K9" i="6" s="1"/>
  <c r="F9" i="6"/>
  <c r="H9" i="6" s="1"/>
  <c r="U8" i="6"/>
  <c r="T8" i="6"/>
  <c r="Q8" i="6"/>
  <c r="F26" i="8" s="1"/>
  <c r="K8" i="6"/>
  <c r="J8" i="6"/>
  <c r="I8" i="6"/>
  <c r="H8" i="6"/>
  <c r="G8" i="6"/>
  <c r="F8" i="6"/>
  <c r="U7" i="6"/>
  <c r="J20" i="8" s="1"/>
  <c r="Q7" i="6"/>
  <c r="F20" i="8" s="1"/>
  <c r="I7" i="6"/>
  <c r="F7" i="6"/>
  <c r="U6" i="6"/>
  <c r="J14" i="8" s="1"/>
  <c r="T6" i="6"/>
  <c r="Q6" i="6"/>
  <c r="F14" i="8" s="1"/>
  <c r="K6" i="6"/>
  <c r="J6" i="6"/>
  <c r="I6" i="6"/>
  <c r="H6" i="6"/>
  <c r="G6" i="6"/>
  <c r="F6" i="6"/>
  <c r="U5" i="6"/>
  <c r="J8" i="8" s="1"/>
  <c r="Q5" i="6"/>
  <c r="J5" i="6"/>
  <c r="I5" i="6"/>
  <c r="K5" i="6" s="1"/>
  <c r="F5" i="6"/>
  <c r="K126" i="5"/>
  <c r="J126" i="5"/>
  <c r="I126" i="5"/>
  <c r="H126" i="5"/>
  <c r="G126" i="5"/>
  <c r="F126" i="5"/>
  <c r="K125" i="5"/>
  <c r="J125" i="5"/>
  <c r="I125" i="5"/>
  <c r="H125" i="5"/>
  <c r="G125" i="5"/>
  <c r="F125" i="5"/>
  <c r="K124" i="5"/>
  <c r="J124" i="5"/>
  <c r="I124" i="5"/>
  <c r="H124" i="5"/>
  <c r="G124" i="5"/>
  <c r="F124" i="5"/>
  <c r="K123" i="5"/>
  <c r="J123" i="5"/>
  <c r="I123" i="5"/>
  <c r="H123" i="5"/>
  <c r="G123" i="5"/>
  <c r="F123" i="5"/>
  <c r="K122" i="5"/>
  <c r="J122" i="5"/>
  <c r="I122" i="5"/>
  <c r="H122" i="5"/>
  <c r="G122" i="5"/>
  <c r="F122" i="5"/>
  <c r="K121" i="5"/>
  <c r="J121" i="5"/>
  <c r="I121" i="5"/>
  <c r="H121" i="5"/>
  <c r="G121" i="5"/>
  <c r="F121" i="5"/>
  <c r="K120" i="5"/>
  <c r="J120" i="5"/>
  <c r="I120" i="5"/>
  <c r="H120" i="5"/>
  <c r="G120" i="5"/>
  <c r="F120" i="5"/>
  <c r="K119" i="5"/>
  <c r="J119" i="5"/>
  <c r="I119" i="5"/>
  <c r="H119" i="5"/>
  <c r="G119" i="5"/>
  <c r="F119" i="5"/>
  <c r="K118" i="5"/>
  <c r="J118" i="5"/>
  <c r="I118" i="5"/>
  <c r="H118" i="5"/>
  <c r="G118" i="5"/>
  <c r="F118" i="5"/>
  <c r="K117" i="5"/>
  <c r="J117" i="5"/>
  <c r="I117" i="5"/>
  <c r="H117" i="5"/>
  <c r="G117" i="5"/>
  <c r="F117" i="5"/>
  <c r="K116" i="5"/>
  <c r="J116" i="5"/>
  <c r="I116" i="5"/>
  <c r="H116" i="5"/>
  <c r="G116" i="5"/>
  <c r="F116" i="5"/>
  <c r="K115" i="5"/>
  <c r="J115" i="5"/>
  <c r="I115" i="5"/>
  <c r="H115" i="5"/>
  <c r="G115" i="5"/>
  <c r="F115" i="5"/>
  <c r="K114" i="5"/>
  <c r="J114" i="5"/>
  <c r="I114" i="5"/>
  <c r="H114" i="5"/>
  <c r="G114" i="5"/>
  <c r="F114" i="5"/>
  <c r="K113" i="5"/>
  <c r="J113" i="5"/>
  <c r="I113" i="5"/>
  <c r="H113" i="5"/>
  <c r="G113" i="5"/>
  <c r="F113" i="5"/>
  <c r="K112" i="5"/>
  <c r="J112" i="5"/>
  <c r="I112" i="5"/>
  <c r="H112" i="5"/>
  <c r="G112" i="5"/>
  <c r="F112" i="5"/>
  <c r="K111" i="5"/>
  <c r="J111" i="5"/>
  <c r="I111" i="5"/>
  <c r="H111" i="5"/>
  <c r="G111" i="5"/>
  <c r="F111" i="5"/>
  <c r="K110" i="5"/>
  <c r="J110" i="5"/>
  <c r="I110" i="5"/>
  <c r="H110" i="5"/>
  <c r="G110" i="5"/>
  <c r="F110" i="5"/>
  <c r="K109" i="5"/>
  <c r="J109" i="5"/>
  <c r="I109" i="5"/>
  <c r="H109" i="5"/>
  <c r="G109" i="5"/>
  <c r="F109" i="5"/>
  <c r="K108" i="5"/>
  <c r="J108" i="5"/>
  <c r="I108" i="5"/>
  <c r="H108" i="5"/>
  <c r="G108" i="5"/>
  <c r="F108" i="5"/>
  <c r="K107" i="5"/>
  <c r="J107" i="5"/>
  <c r="I107" i="5"/>
  <c r="H107" i="5"/>
  <c r="G107" i="5"/>
  <c r="F107" i="5"/>
  <c r="K106" i="5"/>
  <c r="J106" i="5"/>
  <c r="I106" i="5"/>
  <c r="H106" i="5"/>
  <c r="G106" i="5"/>
  <c r="F106" i="5"/>
  <c r="K105" i="5"/>
  <c r="J105" i="5"/>
  <c r="I105" i="5"/>
  <c r="H105" i="5"/>
  <c r="G105" i="5"/>
  <c r="F105" i="5"/>
  <c r="K104" i="5"/>
  <c r="J104" i="5"/>
  <c r="I104" i="5"/>
  <c r="H104" i="5"/>
  <c r="G104" i="5"/>
  <c r="F104" i="5"/>
  <c r="K103" i="5"/>
  <c r="J103" i="5"/>
  <c r="I103" i="5"/>
  <c r="H103" i="5"/>
  <c r="G103" i="5"/>
  <c r="F103" i="5"/>
  <c r="K102" i="5"/>
  <c r="J102" i="5"/>
  <c r="I102" i="5"/>
  <c r="H102" i="5"/>
  <c r="G102" i="5"/>
  <c r="F102" i="5"/>
  <c r="K101" i="5"/>
  <c r="J101" i="5"/>
  <c r="I101" i="5"/>
  <c r="H101" i="5"/>
  <c r="G101" i="5"/>
  <c r="F101" i="5"/>
  <c r="K100" i="5"/>
  <c r="J100" i="5"/>
  <c r="I100" i="5"/>
  <c r="H100" i="5"/>
  <c r="G100" i="5"/>
  <c r="F100" i="5"/>
  <c r="K99" i="5"/>
  <c r="J99" i="5"/>
  <c r="I99" i="5"/>
  <c r="H99" i="5"/>
  <c r="G99" i="5"/>
  <c r="F99" i="5"/>
  <c r="K98" i="5"/>
  <c r="J98" i="5"/>
  <c r="I98" i="5"/>
  <c r="H98" i="5"/>
  <c r="G98" i="5"/>
  <c r="F98" i="5"/>
  <c r="K97" i="5"/>
  <c r="J97" i="5"/>
  <c r="I97" i="5"/>
  <c r="H97" i="5"/>
  <c r="G97" i="5"/>
  <c r="F97" i="5"/>
  <c r="K96" i="5"/>
  <c r="J96" i="5"/>
  <c r="I96" i="5"/>
  <c r="H96" i="5"/>
  <c r="G96" i="5"/>
  <c r="F96" i="5"/>
  <c r="K95" i="5"/>
  <c r="J95" i="5"/>
  <c r="I95" i="5"/>
  <c r="H95" i="5"/>
  <c r="G95" i="5"/>
  <c r="F95" i="5"/>
  <c r="K94" i="5"/>
  <c r="J94" i="5"/>
  <c r="I94" i="5"/>
  <c r="H94" i="5"/>
  <c r="G94" i="5"/>
  <c r="F94" i="5"/>
  <c r="K93" i="5"/>
  <c r="J93" i="5"/>
  <c r="I93" i="5"/>
  <c r="H93" i="5"/>
  <c r="G93" i="5"/>
  <c r="F93" i="5"/>
  <c r="K92" i="5"/>
  <c r="J92" i="5"/>
  <c r="I92" i="5"/>
  <c r="H92" i="5"/>
  <c r="G92" i="5"/>
  <c r="F92" i="5"/>
  <c r="K91" i="5"/>
  <c r="J91" i="5"/>
  <c r="I91" i="5"/>
  <c r="H91" i="5"/>
  <c r="G91" i="5"/>
  <c r="F91" i="5"/>
  <c r="K90" i="5"/>
  <c r="J90" i="5"/>
  <c r="I90" i="5"/>
  <c r="H90" i="5"/>
  <c r="G90" i="5"/>
  <c r="F90" i="5"/>
  <c r="K89" i="5"/>
  <c r="J89" i="5"/>
  <c r="I89" i="5"/>
  <c r="H89" i="5"/>
  <c r="G89" i="5"/>
  <c r="F89" i="5"/>
  <c r="K88" i="5"/>
  <c r="J88" i="5"/>
  <c r="I88" i="5"/>
  <c r="H88" i="5"/>
  <c r="G88" i="5"/>
  <c r="F88" i="5"/>
  <c r="K87" i="5"/>
  <c r="J87" i="5"/>
  <c r="I87" i="5"/>
  <c r="H87" i="5"/>
  <c r="G87" i="5"/>
  <c r="F87" i="5"/>
  <c r="K86" i="5"/>
  <c r="J86" i="5"/>
  <c r="I86" i="5"/>
  <c r="H86" i="5"/>
  <c r="G86" i="5"/>
  <c r="F86" i="5"/>
  <c r="K85" i="5"/>
  <c r="J85" i="5"/>
  <c r="I85" i="5"/>
  <c r="H85" i="5"/>
  <c r="G85" i="5"/>
  <c r="F85" i="5"/>
  <c r="K84" i="5"/>
  <c r="J84" i="5"/>
  <c r="I84" i="5"/>
  <c r="H84" i="5"/>
  <c r="G84" i="5"/>
  <c r="F84" i="5"/>
  <c r="K83" i="5"/>
  <c r="J83" i="5"/>
  <c r="I83" i="5"/>
  <c r="H83" i="5"/>
  <c r="G83" i="5"/>
  <c r="F83" i="5"/>
  <c r="K82" i="5"/>
  <c r="J82" i="5"/>
  <c r="I82" i="5"/>
  <c r="H82" i="5"/>
  <c r="G82" i="5"/>
  <c r="F82" i="5"/>
  <c r="K81" i="5"/>
  <c r="J81" i="5"/>
  <c r="I81" i="5"/>
  <c r="H81" i="5"/>
  <c r="G81" i="5"/>
  <c r="F81" i="5"/>
  <c r="K80" i="5"/>
  <c r="J80" i="5"/>
  <c r="I80" i="5"/>
  <c r="H80" i="5"/>
  <c r="G80" i="5"/>
  <c r="F80" i="5"/>
  <c r="K79" i="5"/>
  <c r="J79" i="5"/>
  <c r="I79" i="5"/>
  <c r="H79" i="5"/>
  <c r="G79" i="5"/>
  <c r="F79" i="5"/>
  <c r="K78" i="5"/>
  <c r="J78" i="5"/>
  <c r="I78" i="5"/>
  <c r="H78" i="5"/>
  <c r="G78" i="5"/>
  <c r="F78" i="5"/>
  <c r="K77" i="5"/>
  <c r="J77" i="5"/>
  <c r="I77" i="5"/>
  <c r="H77" i="5"/>
  <c r="G77" i="5"/>
  <c r="F77" i="5"/>
  <c r="K76" i="5"/>
  <c r="J76" i="5"/>
  <c r="I76" i="5"/>
  <c r="H76" i="5"/>
  <c r="G76" i="5"/>
  <c r="F76" i="5"/>
  <c r="K75" i="5"/>
  <c r="J75" i="5"/>
  <c r="I75" i="5"/>
  <c r="H75" i="5"/>
  <c r="G75" i="5"/>
  <c r="F75" i="5"/>
  <c r="K74" i="5"/>
  <c r="J74" i="5"/>
  <c r="I74" i="5"/>
  <c r="H74" i="5"/>
  <c r="G74" i="5"/>
  <c r="F74" i="5"/>
  <c r="K73" i="5"/>
  <c r="J73" i="5"/>
  <c r="I73" i="5"/>
  <c r="H73" i="5"/>
  <c r="G73" i="5"/>
  <c r="F73" i="5"/>
  <c r="K72" i="5"/>
  <c r="J72" i="5"/>
  <c r="I72" i="5"/>
  <c r="H72" i="5"/>
  <c r="G72" i="5"/>
  <c r="F72" i="5"/>
  <c r="K71" i="5"/>
  <c r="J71" i="5"/>
  <c r="I71" i="5"/>
  <c r="H71" i="5"/>
  <c r="G71" i="5"/>
  <c r="F71" i="5"/>
  <c r="K70" i="5"/>
  <c r="J70" i="5"/>
  <c r="I70" i="5"/>
  <c r="H70" i="5"/>
  <c r="G70" i="5"/>
  <c r="F70" i="5"/>
  <c r="K69" i="5"/>
  <c r="J69" i="5"/>
  <c r="I69" i="5"/>
  <c r="H69" i="5"/>
  <c r="G69" i="5"/>
  <c r="F69" i="5"/>
  <c r="K68" i="5"/>
  <c r="J68" i="5"/>
  <c r="I68" i="5"/>
  <c r="H68" i="5"/>
  <c r="G68" i="5"/>
  <c r="F68" i="5"/>
  <c r="K67" i="5"/>
  <c r="J67" i="5"/>
  <c r="I67" i="5"/>
  <c r="H67" i="5"/>
  <c r="G67" i="5"/>
  <c r="F67" i="5"/>
  <c r="K66" i="5"/>
  <c r="J66" i="5"/>
  <c r="I66" i="5"/>
  <c r="H66" i="5"/>
  <c r="G66" i="5"/>
  <c r="F66" i="5"/>
  <c r="K65" i="5"/>
  <c r="J65" i="5"/>
  <c r="I65" i="5"/>
  <c r="H65" i="5"/>
  <c r="G65" i="5"/>
  <c r="F65" i="5"/>
  <c r="K64" i="5"/>
  <c r="J64" i="5"/>
  <c r="I64" i="5"/>
  <c r="H64" i="5"/>
  <c r="G64" i="5"/>
  <c r="F64" i="5"/>
  <c r="K63" i="5"/>
  <c r="J63" i="5"/>
  <c r="I63" i="5"/>
  <c r="H63" i="5"/>
  <c r="G63" i="5"/>
  <c r="F63" i="5"/>
  <c r="K62" i="5"/>
  <c r="J62" i="5"/>
  <c r="I62" i="5"/>
  <c r="H62" i="5"/>
  <c r="G62" i="5"/>
  <c r="F62" i="5"/>
  <c r="K61" i="5"/>
  <c r="J61" i="5"/>
  <c r="I61" i="5"/>
  <c r="H61" i="5"/>
  <c r="G61" i="5"/>
  <c r="F61" i="5"/>
  <c r="K60" i="5"/>
  <c r="J60" i="5"/>
  <c r="I60" i="5"/>
  <c r="H60" i="5"/>
  <c r="G60" i="5"/>
  <c r="F60" i="5"/>
  <c r="K59" i="5"/>
  <c r="J59" i="5"/>
  <c r="I59" i="5"/>
  <c r="H59" i="5"/>
  <c r="G59" i="5"/>
  <c r="F59" i="5"/>
  <c r="K58" i="5"/>
  <c r="J58" i="5"/>
  <c r="I58" i="5"/>
  <c r="H58" i="5"/>
  <c r="G58" i="5"/>
  <c r="F58" i="5"/>
  <c r="K57" i="5"/>
  <c r="J57" i="5"/>
  <c r="I57" i="5"/>
  <c r="H57" i="5"/>
  <c r="G57" i="5"/>
  <c r="F57" i="5"/>
  <c r="K56" i="5"/>
  <c r="J56" i="5"/>
  <c r="I56" i="5"/>
  <c r="H56" i="5"/>
  <c r="G56" i="5"/>
  <c r="F56" i="5"/>
  <c r="K55" i="5"/>
  <c r="J55" i="5"/>
  <c r="I55" i="5"/>
  <c r="H55" i="5"/>
  <c r="G55" i="5"/>
  <c r="F55" i="5"/>
  <c r="K54" i="5"/>
  <c r="J54" i="5"/>
  <c r="I54" i="5"/>
  <c r="H54" i="5"/>
  <c r="G54" i="5"/>
  <c r="F54" i="5"/>
  <c r="K53" i="5"/>
  <c r="J53" i="5"/>
  <c r="I53" i="5"/>
  <c r="H53" i="5"/>
  <c r="G53" i="5"/>
  <c r="F53" i="5"/>
  <c r="K52" i="5"/>
  <c r="J52" i="5"/>
  <c r="I52" i="5"/>
  <c r="H52" i="5"/>
  <c r="G52" i="5"/>
  <c r="F52" i="5"/>
  <c r="K51" i="5"/>
  <c r="J51" i="5"/>
  <c r="I51" i="5"/>
  <c r="H51" i="5"/>
  <c r="G51" i="5"/>
  <c r="F51" i="5"/>
  <c r="K50" i="5"/>
  <c r="J50" i="5"/>
  <c r="I50" i="5"/>
  <c r="H50" i="5"/>
  <c r="G50" i="5"/>
  <c r="F50" i="5"/>
  <c r="K49" i="5"/>
  <c r="J49" i="5"/>
  <c r="I49" i="5"/>
  <c r="H49" i="5"/>
  <c r="G49" i="5"/>
  <c r="F49" i="5"/>
  <c r="K48" i="5"/>
  <c r="J48" i="5"/>
  <c r="I48" i="5"/>
  <c r="H48" i="5"/>
  <c r="G48" i="5"/>
  <c r="F48" i="5"/>
  <c r="K47" i="5"/>
  <c r="J47" i="5"/>
  <c r="I47" i="5"/>
  <c r="H47" i="5"/>
  <c r="G47" i="5"/>
  <c r="F47" i="5"/>
  <c r="K46" i="5"/>
  <c r="J46" i="5"/>
  <c r="I46" i="5"/>
  <c r="H46" i="5"/>
  <c r="G46" i="5"/>
  <c r="F46" i="5"/>
  <c r="K45" i="5"/>
  <c r="J45" i="5"/>
  <c r="I45" i="5"/>
  <c r="H45" i="5"/>
  <c r="G45" i="5"/>
  <c r="F45" i="5"/>
  <c r="K44" i="5"/>
  <c r="J44" i="5"/>
  <c r="I44" i="5"/>
  <c r="H44" i="5"/>
  <c r="G44" i="5"/>
  <c r="F44" i="5"/>
  <c r="K43" i="5"/>
  <c r="J43" i="5"/>
  <c r="I43" i="5"/>
  <c r="H43" i="5"/>
  <c r="G43" i="5"/>
  <c r="F43" i="5"/>
  <c r="K42" i="5"/>
  <c r="J42" i="5"/>
  <c r="I42" i="5"/>
  <c r="H42" i="5"/>
  <c r="G42" i="5"/>
  <c r="F42" i="5"/>
  <c r="K41" i="5"/>
  <c r="J41" i="5"/>
  <c r="I41" i="5"/>
  <c r="H41" i="5"/>
  <c r="G41" i="5"/>
  <c r="F41" i="5"/>
  <c r="K40" i="5"/>
  <c r="J40" i="5"/>
  <c r="I40" i="5"/>
  <c r="H40" i="5"/>
  <c r="G40" i="5"/>
  <c r="F40" i="5"/>
  <c r="K39" i="5"/>
  <c r="J39" i="5"/>
  <c r="I39" i="5"/>
  <c r="H39" i="5"/>
  <c r="G39" i="5"/>
  <c r="F39" i="5"/>
  <c r="K38" i="5"/>
  <c r="J38" i="5"/>
  <c r="I38" i="5"/>
  <c r="H38" i="5"/>
  <c r="G38" i="5"/>
  <c r="F38" i="5"/>
  <c r="K37" i="5"/>
  <c r="J37" i="5"/>
  <c r="I37" i="5"/>
  <c r="H37" i="5"/>
  <c r="G37" i="5"/>
  <c r="F37" i="5"/>
  <c r="K36" i="5"/>
  <c r="J36" i="5"/>
  <c r="I36" i="5"/>
  <c r="H36" i="5"/>
  <c r="G36" i="5"/>
  <c r="F36" i="5"/>
  <c r="K35" i="5"/>
  <c r="J35" i="5"/>
  <c r="I35" i="5"/>
  <c r="H35" i="5"/>
  <c r="G35" i="5"/>
  <c r="F35" i="5"/>
  <c r="K34" i="5"/>
  <c r="J34" i="5"/>
  <c r="I34" i="5"/>
  <c r="H34" i="5"/>
  <c r="G34" i="5"/>
  <c r="F34" i="5"/>
  <c r="K33" i="5"/>
  <c r="J33" i="5"/>
  <c r="I33" i="5"/>
  <c r="H33" i="5"/>
  <c r="G33" i="5"/>
  <c r="F33" i="5"/>
  <c r="K32" i="5"/>
  <c r="J32" i="5"/>
  <c r="I32" i="5"/>
  <c r="H32" i="5"/>
  <c r="G32" i="5"/>
  <c r="F32" i="5"/>
  <c r="K31" i="5"/>
  <c r="J31" i="5"/>
  <c r="I31" i="5"/>
  <c r="H31" i="5"/>
  <c r="G31" i="5"/>
  <c r="F31" i="5"/>
  <c r="K30" i="5"/>
  <c r="J30" i="5"/>
  <c r="I30" i="5"/>
  <c r="H30" i="5"/>
  <c r="G30" i="5"/>
  <c r="F30" i="5"/>
  <c r="K29" i="5"/>
  <c r="J29" i="5"/>
  <c r="I29" i="5"/>
  <c r="H29" i="5"/>
  <c r="G29" i="5"/>
  <c r="F29" i="5"/>
  <c r="K28" i="5"/>
  <c r="J28" i="5"/>
  <c r="I28" i="5"/>
  <c r="H28" i="5"/>
  <c r="G28" i="5"/>
  <c r="F28" i="5"/>
  <c r="K27" i="5"/>
  <c r="J27" i="5"/>
  <c r="I27" i="5"/>
  <c r="H27" i="5"/>
  <c r="G27" i="5"/>
  <c r="F27" i="5"/>
  <c r="K26" i="5"/>
  <c r="J26" i="5"/>
  <c r="I26" i="5"/>
  <c r="H26" i="5"/>
  <c r="G26" i="5"/>
  <c r="F26" i="5"/>
  <c r="K25" i="5"/>
  <c r="J25" i="5"/>
  <c r="I25" i="5"/>
  <c r="H25" i="5"/>
  <c r="G25" i="5"/>
  <c r="F25" i="5"/>
  <c r="U24" i="5"/>
  <c r="J120" i="8" s="1"/>
  <c r="Q24" i="5"/>
  <c r="F120" i="8" s="1"/>
  <c r="J24" i="5"/>
  <c r="I24" i="5"/>
  <c r="K24" i="5" s="1"/>
  <c r="H24" i="5"/>
  <c r="F24" i="5"/>
  <c r="G24" i="5" s="1"/>
  <c r="U23" i="5"/>
  <c r="Q23" i="5"/>
  <c r="F114" i="8" s="1"/>
  <c r="J23" i="5"/>
  <c r="I23" i="5"/>
  <c r="K23" i="5" s="1"/>
  <c r="F23" i="5"/>
  <c r="H23" i="5" s="1"/>
  <c r="U22" i="5"/>
  <c r="J108" i="8" s="1"/>
  <c r="Q22" i="5"/>
  <c r="F108" i="8" s="1"/>
  <c r="K22" i="5"/>
  <c r="J22" i="5"/>
  <c r="I22" i="5"/>
  <c r="H22" i="5"/>
  <c r="G22" i="5"/>
  <c r="F22" i="5"/>
  <c r="U21" i="5"/>
  <c r="J102" i="8" s="1"/>
  <c r="Q21" i="5"/>
  <c r="F102" i="8" s="1"/>
  <c r="I21" i="5"/>
  <c r="F21" i="5"/>
  <c r="U20" i="5"/>
  <c r="J96" i="8" s="1"/>
  <c r="Q20" i="5"/>
  <c r="F96" i="8" s="1"/>
  <c r="K20" i="5"/>
  <c r="J20" i="5"/>
  <c r="I20" i="5"/>
  <c r="H20" i="5"/>
  <c r="G20" i="5"/>
  <c r="F20" i="5"/>
  <c r="U19" i="5"/>
  <c r="J90" i="8" s="1"/>
  <c r="Q19" i="5"/>
  <c r="K19" i="5"/>
  <c r="J19" i="5"/>
  <c r="I19" i="5"/>
  <c r="H19" i="5"/>
  <c r="G19" i="5"/>
  <c r="F19" i="5"/>
  <c r="U18" i="5"/>
  <c r="J84" i="8" s="1"/>
  <c r="Q18" i="5"/>
  <c r="F84" i="8" s="1"/>
  <c r="K18" i="5"/>
  <c r="J18" i="5"/>
  <c r="I18" i="5"/>
  <c r="H18" i="5"/>
  <c r="G18" i="5"/>
  <c r="F18" i="5"/>
  <c r="U17" i="5"/>
  <c r="Q17" i="5"/>
  <c r="F78" i="8" s="1"/>
  <c r="I17" i="5"/>
  <c r="K17" i="5" s="1"/>
  <c r="F17" i="5"/>
  <c r="H17" i="5" s="1"/>
  <c r="U16" i="5"/>
  <c r="J72" i="8" s="1"/>
  <c r="Q16" i="5"/>
  <c r="F72" i="8" s="1"/>
  <c r="K16" i="5"/>
  <c r="J16" i="5"/>
  <c r="I16" i="5"/>
  <c r="H16" i="5"/>
  <c r="G16" i="5"/>
  <c r="F16" i="5"/>
  <c r="U15" i="5"/>
  <c r="J66" i="8" s="1"/>
  <c r="Q15" i="5"/>
  <c r="I15" i="5"/>
  <c r="F15" i="5"/>
  <c r="U14" i="5"/>
  <c r="J60" i="8" s="1"/>
  <c r="Q14" i="5"/>
  <c r="F60" i="8" s="1"/>
  <c r="K14" i="5"/>
  <c r="J14" i="5"/>
  <c r="I14" i="5"/>
  <c r="F14" i="5"/>
  <c r="G14" i="5" s="1"/>
  <c r="U13" i="5"/>
  <c r="Q13" i="5"/>
  <c r="J13" i="5"/>
  <c r="I13" i="5"/>
  <c r="K13" i="5" s="1"/>
  <c r="H13" i="5"/>
  <c r="F13" i="5"/>
  <c r="G13" i="5" s="1"/>
  <c r="U12" i="5"/>
  <c r="J48" i="8" s="1"/>
  <c r="Q12" i="5"/>
  <c r="F48" i="8" s="1"/>
  <c r="K12" i="5"/>
  <c r="J12" i="5"/>
  <c r="I12" i="5"/>
  <c r="H12" i="5"/>
  <c r="G12" i="5"/>
  <c r="F12" i="5"/>
  <c r="U11" i="5"/>
  <c r="Q11" i="5"/>
  <c r="F42" i="8" s="1"/>
  <c r="J11" i="5"/>
  <c r="I11" i="5"/>
  <c r="K11" i="5" s="1"/>
  <c r="H11" i="5"/>
  <c r="F11" i="5"/>
  <c r="G11" i="5" s="1"/>
  <c r="U10" i="5"/>
  <c r="J36" i="8" s="1"/>
  <c r="Q10" i="5"/>
  <c r="F36" i="8" s="1"/>
  <c r="P10" i="5"/>
  <c r="E36" i="8" s="1"/>
  <c r="K10" i="5"/>
  <c r="J10" i="5"/>
  <c r="I10" i="5"/>
  <c r="F10" i="5"/>
  <c r="H10" i="5" s="1"/>
  <c r="U9" i="5"/>
  <c r="J31" i="8" s="1"/>
  <c r="Q9" i="5"/>
  <c r="P9" i="5"/>
  <c r="E31" i="8" s="1"/>
  <c r="I9" i="5"/>
  <c r="K9" i="5" s="1"/>
  <c r="H9" i="5"/>
  <c r="F9" i="5"/>
  <c r="G9" i="5" s="1"/>
  <c r="U8" i="5"/>
  <c r="J25" i="8" s="1"/>
  <c r="Q8" i="5"/>
  <c r="F25" i="8" s="1"/>
  <c r="K8" i="5"/>
  <c r="J8" i="5"/>
  <c r="I8" i="5"/>
  <c r="H8" i="5"/>
  <c r="F8" i="5"/>
  <c r="G8" i="5" s="1"/>
  <c r="U7" i="5"/>
  <c r="Q7" i="5"/>
  <c r="K7" i="5"/>
  <c r="J7" i="5"/>
  <c r="I7" i="5"/>
  <c r="H7" i="5"/>
  <c r="F7" i="5"/>
  <c r="G7" i="5" s="1"/>
  <c r="U6" i="5"/>
  <c r="J13" i="8" s="1"/>
  <c r="Q6" i="5"/>
  <c r="F13" i="8" s="1"/>
  <c r="J6" i="5"/>
  <c r="I6" i="5"/>
  <c r="K6" i="5" s="1"/>
  <c r="H6" i="5"/>
  <c r="G6" i="5"/>
  <c r="F6" i="5"/>
  <c r="U5" i="5"/>
  <c r="Q5" i="5"/>
  <c r="F7" i="8" s="1"/>
  <c r="K5" i="5"/>
  <c r="J5" i="5"/>
  <c r="I5" i="5"/>
  <c r="H5" i="5"/>
  <c r="G5" i="5"/>
  <c r="F5" i="5"/>
  <c r="P7" i="5" s="1"/>
  <c r="E19" i="8" s="1"/>
  <c r="K126" i="4"/>
  <c r="J126" i="4"/>
  <c r="I126" i="4"/>
  <c r="H126" i="4"/>
  <c r="G126" i="4"/>
  <c r="F126" i="4"/>
  <c r="K125" i="4"/>
  <c r="J125" i="4"/>
  <c r="I125" i="4"/>
  <c r="H125" i="4"/>
  <c r="G125" i="4"/>
  <c r="F125" i="4"/>
  <c r="K124" i="4"/>
  <c r="J124" i="4"/>
  <c r="I124" i="4"/>
  <c r="H124" i="4"/>
  <c r="G124" i="4"/>
  <c r="F124" i="4"/>
  <c r="K123" i="4"/>
  <c r="J123" i="4"/>
  <c r="I123" i="4"/>
  <c r="H123" i="4"/>
  <c r="G123" i="4"/>
  <c r="F123" i="4"/>
  <c r="K122" i="4"/>
  <c r="J122" i="4"/>
  <c r="I122" i="4"/>
  <c r="H122" i="4"/>
  <c r="G122" i="4"/>
  <c r="F122" i="4"/>
  <c r="K121" i="4"/>
  <c r="J121" i="4"/>
  <c r="I121" i="4"/>
  <c r="H121" i="4"/>
  <c r="G121" i="4"/>
  <c r="F121" i="4"/>
  <c r="K120" i="4"/>
  <c r="J120" i="4"/>
  <c r="I120" i="4"/>
  <c r="H120" i="4"/>
  <c r="G120" i="4"/>
  <c r="F120" i="4"/>
  <c r="K119" i="4"/>
  <c r="J119" i="4"/>
  <c r="I119" i="4"/>
  <c r="H119" i="4"/>
  <c r="G119" i="4"/>
  <c r="F119" i="4"/>
  <c r="K118" i="4"/>
  <c r="J118" i="4"/>
  <c r="I118" i="4"/>
  <c r="H118" i="4"/>
  <c r="G118" i="4"/>
  <c r="F118" i="4"/>
  <c r="K117" i="4"/>
  <c r="J117" i="4"/>
  <c r="I117" i="4"/>
  <c r="H117" i="4"/>
  <c r="G117" i="4"/>
  <c r="F117" i="4"/>
  <c r="K116" i="4"/>
  <c r="J116" i="4"/>
  <c r="I116" i="4"/>
  <c r="H116" i="4"/>
  <c r="G116" i="4"/>
  <c r="F116" i="4"/>
  <c r="K115" i="4"/>
  <c r="J115" i="4"/>
  <c r="I115" i="4"/>
  <c r="H115" i="4"/>
  <c r="G115" i="4"/>
  <c r="F115" i="4"/>
  <c r="K114" i="4"/>
  <c r="J114" i="4"/>
  <c r="I114" i="4"/>
  <c r="H114" i="4"/>
  <c r="G114" i="4"/>
  <c r="F114" i="4"/>
  <c r="K113" i="4"/>
  <c r="J113" i="4"/>
  <c r="I113" i="4"/>
  <c r="H113" i="4"/>
  <c r="G113" i="4"/>
  <c r="F113" i="4"/>
  <c r="K112" i="4"/>
  <c r="J112" i="4"/>
  <c r="I112" i="4"/>
  <c r="H112" i="4"/>
  <c r="G112" i="4"/>
  <c r="F112" i="4"/>
  <c r="K111" i="4"/>
  <c r="J111" i="4"/>
  <c r="I111" i="4"/>
  <c r="H111" i="4"/>
  <c r="G111" i="4"/>
  <c r="F111" i="4"/>
  <c r="K110" i="4"/>
  <c r="J110" i="4"/>
  <c r="I110" i="4"/>
  <c r="H110" i="4"/>
  <c r="G110" i="4"/>
  <c r="F110" i="4"/>
  <c r="K109" i="4"/>
  <c r="J109" i="4"/>
  <c r="I109" i="4"/>
  <c r="H109" i="4"/>
  <c r="G109" i="4"/>
  <c r="F109" i="4"/>
  <c r="K108" i="4"/>
  <c r="J108" i="4"/>
  <c r="I108" i="4"/>
  <c r="H108" i="4"/>
  <c r="G108" i="4"/>
  <c r="F108" i="4"/>
  <c r="K107" i="4"/>
  <c r="J107" i="4"/>
  <c r="I107" i="4"/>
  <c r="H107" i="4"/>
  <c r="G107" i="4"/>
  <c r="F107" i="4"/>
  <c r="K106" i="4"/>
  <c r="J106" i="4"/>
  <c r="I106" i="4"/>
  <c r="H106" i="4"/>
  <c r="G106" i="4"/>
  <c r="F106" i="4"/>
  <c r="K105" i="4"/>
  <c r="J105" i="4"/>
  <c r="I105" i="4"/>
  <c r="H105" i="4"/>
  <c r="G105" i="4"/>
  <c r="F105" i="4"/>
  <c r="K104" i="4"/>
  <c r="J104" i="4"/>
  <c r="I104" i="4"/>
  <c r="H104" i="4"/>
  <c r="G104" i="4"/>
  <c r="F104" i="4"/>
  <c r="K103" i="4"/>
  <c r="J103" i="4"/>
  <c r="I103" i="4"/>
  <c r="H103" i="4"/>
  <c r="G103" i="4"/>
  <c r="F103" i="4"/>
  <c r="K102" i="4"/>
  <c r="J102" i="4"/>
  <c r="I102" i="4"/>
  <c r="H102" i="4"/>
  <c r="G102" i="4"/>
  <c r="F102" i="4"/>
  <c r="K101" i="4"/>
  <c r="J101" i="4"/>
  <c r="I101" i="4"/>
  <c r="H101" i="4"/>
  <c r="G101" i="4"/>
  <c r="F101" i="4"/>
  <c r="K100" i="4"/>
  <c r="J100" i="4"/>
  <c r="I100" i="4"/>
  <c r="H100" i="4"/>
  <c r="G100" i="4"/>
  <c r="F100" i="4"/>
  <c r="K99" i="4"/>
  <c r="J99" i="4"/>
  <c r="I99" i="4"/>
  <c r="H99" i="4"/>
  <c r="G99" i="4"/>
  <c r="F99" i="4"/>
  <c r="K98" i="4"/>
  <c r="J98" i="4"/>
  <c r="I98" i="4"/>
  <c r="H98" i="4"/>
  <c r="G98" i="4"/>
  <c r="F98" i="4"/>
  <c r="K97" i="4"/>
  <c r="J97" i="4"/>
  <c r="I97" i="4"/>
  <c r="H97" i="4"/>
  <c r="G97" i="4"/>
  <c r="F97" i="4"/>
  <c r="K96" i="4"/>
  <c r="J96" i="4"/>
  <c r="I96" i="4"/>
  <c r="H96" i="4"/>
  <c r="G96" i="4"/>
  <c r="F96" i="4"/>
  <c r="K95" i="4"/>
  <c r="J95" i="4"/>
  <c r="I95" i="4"/>
  <c r="H95" i="4"/>
  <c r="G95" i="4"/>
  <c r="F95" i="4"/>
  <c r="K94" i="4"/>
  <c r="J94" i="4"/>
  <c r="I94" i="4"/>
  <c r="H94" i="4"/>
  <c r="G94" i="4"/>
  <c r="F94" i="4"/>
  <c r="K93" i="4"/>
  <c r="J93" i="4"/>
  <c r="I93" i="4"/>
  <c r="H93" i="4"/>
  <c r="G93" i="4"/>
  <c r="F93" i="4"/>
  <c r="K92" i="4"/>
  <c r="J92" i="4"/>
  <c r="I92" i="4"/>
  <c r="H92" i="4"/>
  <c r="G92" i="4"/>
  <c r="F92" i="4"/>
  <c r="K91" i="4"/>
  <c r="J91" i="4"/>
  <c r="I91" i="4"/>
  <c r="H91" i="4"/>
  <c r="G91" i="4"/>
  <c r="F91" i="4"/>
  <c r="K90" i="4"/>
  <c r="J90" i="4"/>
  <c r="I90" i="4"/>
  <c r="H90" i="4"/>
  <c r="G90" i="4"/>
  <c r="F90" i="4"/>
  <c r="K89" i="4"/>
  <c r="J89" i="4"/>
  <c r="I89" i="4"/>
  <c r="H89" i="4"/>
  <c r="G89" i="4"/>
  <c r="F89" i="4"/>
  <c r="K88" i="4"/>
  <c r="J88" i="4"/>
  <c r="I88" i="4"/>
  <c r="H88" i="4"/>
  <c r="G88" i="4"/>
  <c r="F88" i="4"/>
  <c r="K87" i="4"/>
  <c r="J87" i="4"/>
  <c r="I87" i="4"/>
  <c r="H87" i="4"/>
  <c r="G87" i="4"/>
  <c r="F87" i="4"/>
  <c r="K86" i="4"/>
  <c r="J86" i="4"/>
  <c r="I86" i="4"/>
  <c r="H86" i="4"/>
  <c r="G86" i="4"/>
  <c r="F86" i="4"/>
  <c r="K85" i="4"/>
  <c r="J85" i="4"/>
  <c r="I85" i="4"/>
  <c r="H85" i="4"/>
  <c r="G85" i="4"/>
  <c r="F85" i="4"/>
  <c r="K84" i="4"/>
  <c r="J84" i="4"/>
  <c r="I84" i="4"/>
  <c r="H84" i="4"/>
  <c r="G84" i="4"/>
  <c r="F84" i="4"/>
  <c r="K83" i="4"/>
  <c r="J83" i="4"/>
  <c r="I83" i="4"/>
  <c r="H83" i="4"/>
  <c r="G83" i="4"/>
  <c r="F83" i="4"/>
  <c r="K82" i="4"/>
  <c r="J82" i="4"/>
  <c r="I82" i="4"/>
  <c r="H82" i="4"/>
  <c r="G82" i="4"/>
  <c r="F82" i="4"/>
  <c r="K81" i="4"/>
  <c r="J81" i="4"/>
  <c r="I81" i="4"/>
  <c r="H81" i="4"/>
  <c r="G81" i="4"/>
  <c r="F81" i="4"/>
  <c r="K80" i="4"/>
  <c r="J80" i="4"/>
  <c r="I80" i="4"/>
  <c r="H80" i="4"/>
  <c r="G80" i="4"/>
  <c r="F80" i="4"/>
  <c r="K79" i="4"/>
  <c r="J79" i="4"/>
  <c r="I79" i="4"/>
  <c r="H79" i="4"/>
  <c r="G79" i="4"/>
  <c r="F79" i="4"/>
  <c r="K78" i="4"/>
  <c r="J78" i="4"/>
  <c r="I78" i="4"/>
  <c r="H78" i="4"/>
  <c r="G78" i="4"/>
  <c r="F78" i="4"/>
  <c r="K77" i="4"/>
  <c r="J77" i="4"/>
  <c r="I77" i="4"/>
  <c r="H77" i="4"/>
  <c r="G77" i="4"/>
  <c r="F77" i="4"/>
  <c r="K76" i="4"/>
  <c r="J76" i="4"/>
  <c r="I76" i="4"/>
  <c r="H76" i="4"/>
  <c r="G76" i="4"/>
  <c r="F76" i="4"/>
  <c r="K75" i="4"/>
  <c r="J75" i="4"/>
  <c r="I75" i="4"/>
  <c r="H75" i="4"/>
  <c r="G75" i="4"/>
  <c r="F75" i="4"/>
  <c r="K74" i="4"/>
  <c r="J74" i="4"/>
  <c r="I74" i="4"/>
  <c r="H74" i="4"/>
  <c r="G74" i="4"/>
  <c r="F74" i="4"/>
  <c r="K73" i="4"/>
  <c r="J73" i="4"/>
  <c r="I73" i="4"/>
  <c r="H73" i="4"/>
  <c r="G73" i="4"/>
  <c r="F73" i="4"/>
  <c r="K72" i="4"/>
  <c r="J72" i="4"/>
  <c r="I72" i="4"/>
  <c r="H72" i="4"/>
  <c r="G72" i="4"/>
  <c r="F72" i="4"/>
  <c r="K71" i="4"/>
  <c r="J71" i="4"/>
  <c r="I71" i="4"/>
  <c r="H71" i="4"/>
  <c r="G71" i="4"/>
  <c r="F71" i="4"/>
  <c r="K70" i="4"/>
  <c r="J70" i="4"/>
  <c r="I70" i="4"/>
  <c r="H70" i="4"/>
  <c r="G70" i="4"/>
  <c r="F70" i="4"/>
  <c r="K69" i="4"/>
  <c r="J69" i="4"/>
  <c r="I69" i="4"/>
  <c r="H69" i="4"/>
  <c r="G69" i="4"/>
  <c r="F69" i="4"/>
  <c r="K68" i="4"/>
  <c r="J68" i="4"/>
  <c r="I68" i="4"/>
  <c r="H68" i="4"/>
  <c r="G68" i="4"/>
  <c r="F68" i="4"/>
  <c r="K67" i="4"/>
  <c r="J67" i="4"/>
  <c r="I67" i="4"/>
  <c r="H67" i="4"/>
  <c r="G67" i="4"/>
  <c r="F67" i="4"/>
  <c r="K66" i="4"/>
  <c r="J66" i="4"/>
  <c r="I66" i="4"/>
  <c r="H66" i="4"/>
  <c r="G66" i="4"/>
  <c r="F66" i="4"/>
  <c r="K65" i="4"/>
  <c r="J65" i="4"/>
  <c r="I65" i="4"/>
  <c r="H65" i="4"/>
  <c r="G65" i="4"/>
  <c r="F65" i="4"/>
  <c r="K64" i="4"/>
  <c r="J64" i="4"/>
  <c r="I64" i="4"/>
  <c r="H64" i="4"/>
  <c r="G64" i="4"/>
  <c r="F64" i="4"/>
  <c r="K63" i="4"/>
  <c r="J63" i="4"/>
  <c r="I63" i="4"/>
  <c r="H63" i="4"/>
  <c r="G63" i="4"/>
  <c r="F63" i="4"/>
  <c r="K62" i="4"/>
  <c r="J62" i="4"/>
  <c r="I62" i="4"/>
  <c r="H62" i="4"/>
  <c r="G62" i="4"/>
  <c r="F62" i="4"/>
  <c r="K61" i="4"/>
  <c r="J61" i="4"/>
  <c r="I61" i="4"/>
  <c r="H61" i="4"/>
  <c r="G61" i="4"/>
  <c r="F61" i="4"/>
  <c r="K60" i="4"/>
  <c r="J60" i="4"/>
  <c r="I60" i="4"/>
  <c r="H60" i="4"/>
  <c r="G60" i="4"/>
  <c r="F60" i="4"/>
  <c r="K59" i="4"/>
  <c r="J59" i="4"/>
  <c r="I59" i="4"/>
  <c r="H59" i="4"/>
  <c r="G59" i="4"/>
  <c r="F59" i="4"/>
  <c r="K58" i="4"/>
  <c r="J58" i="4"/>
  <c r="I58" i="4"/>
  <c r="H58" i="4"/>
  <c r="G58" i="4"/>
  <c r="F58" i="4"/>
  <c r="K57" i="4"/>
  <c r="J57" i="4"/>
  <c r="I57" i="4"/>
  <c r="H57" i="4"/>
  <c r="G57" i="4"/>
  <c r="F57" i="4"/>
  <c r="K56" i="4"/>
  <c r="J56" i="4"/>
  <c r="I56" i="4"/>
  <c r="H56" i="4"/>
  <c r="G56" i="4"/>
  <c r="F56" i="4"/>
  <c r="K55" i="4"/>
  <c r="J55" i="4"/>
  <c r="I55" i="4"/>
  <c r="H55" i="4"/>
  <c r="G55" i="4"/>
  <c r="F55" i="4"/>
  <c r="K54" i="4"/>
  <c r="J54" i="4"/>
  <c r="I54" i="4"/>
  <c r="H54" i="4"/>
  <c r="G54" i="4"/>
  <c r="F54" i="4"/>
  <c r="K53" i="4"/>
  <c r="J53" i="4"/>
  <c r="I53" i="4"/>
  <c r="H53" i="4"/>
  <c r="G53" i="4"/>
  <c r="F53" i="4"/>
  <c r="K52" i="4"/>
  <c r="J52" i="4"/>
  <c r="I52" i="4"/>
  <c r="H52" i="4"/>
  <c r="G52" i="4"/>
  <c r="F52" i="4"/>
  <c r="K51" i="4"/>
  <c r="J51" i="4"/>
  <c r="I51" i="4"/>
  <c r="H51" i="4"/>
  <c r="G51" i="4"/>
  <c r="F51" i="4"/>
  <c r="K50" i="4"/>
  <c r="J50" i="4"/>
  <c r="I50" i="4"/>
  <c r="H50" i="4"/>
  <c r="G50" i="4"/>
  <c r="F50" i="4"/>
  <c r="K49" i="4"/>
  <c r="J49" i="4"/>
  <c r="I49" i="4"/>
  <c r="H49" i="4"/>
  <c r="G49" i="4"/>
  <c r="F49" i="4"/>
  <c r="K48" i="4"/>
  <c r="J48" i="4"/>
  <c r="I48" i="4"/>
  <c r="H48" i="4"/>
  <c r="G48" i="4"/>
  <c r="F48" i="4"/>
  <c r="K47" i="4"/>
  <c r="J47" i="4"/>
  <c r="I47" i="4"/>
  <c r="H47" i="4"/>
  <c r="G47" i="4"/>
  <c r="F47" i="4"/>
  <c r="K46" i="4"/>
  <c r="J46" i="4"/>
  <c r="I46" i="4"/>
  <c r="H46" i="4"/>
  <c r="G46" i="4"/>
  <c r="F46" i="4"/>
  <c r="K45" i="4"/>
  <c r="J45" i="4"/>
  <c r="I45" i="4"/>
  <c r="H45" i="4"/>
  <c r="G45" i="4"/>
  <c r="F45" i="4"/>
  <c r="K44" i="4"/>
  <c r="J44" i="4"/>
  <c r="I44" i="4"/>
  <c r="H44" i="4"/>
  <c r="G44" i="4"/>
  <c r="F44" i="4"/>
  <c r="K43" i="4"/>
  <c r="J43" i="4"/>
  <c r="I43" i="4"/>
  <c r="H43" i="4"/>
  <c r="G43" i="4"/>
  <c r="F43" i="4"/>
  <c r="K42" i="4"/>
  <c r="J42" i="4"/>
  <c r="I42" i="4"/>
  <c r="H42" i="4"/>
  <c r="G42" i="4"/>
  <c r="F42" i="4"/>
  <c r="K41" i="4"/>
  <c r="J41" i="4"/>
  <c r="I41" i="4"/>
  <c r="H41" i="4"/>
  <c r="G41" i="4"/>
  <c r="F41" i="4"/>
  <c r="K40" i="4"/>
  <c r="J40" i="4"/>
  <c r="I40" i="4"/>
  <c r="H40" i="4"/>
  <c r="G40" i="4"/>
  <c r="F40" i="4"/>
  <c r="K39" i="4"/>
  <c r="J39" i="4"/>
  <c r="I39" i="4"/>
  <c r="H39" i="4"/>
  <c r="G39" i="4"/>
  <c r="F39" i="4"/>
  <c r="K38" i="4"/>
  <c r="J38" i="4"/>
  <c r="I38" i="4"/>
  <c r="H38" i="4"/>
  <c r="G38" i="4"/>
  <c r="F38" i="4"/>
  <c r="K37" i="4"/>
  <c r="J37" i="4"/>
  <c r="I37" i="4"/>
  <c r="H37" i="4"/>
  <c r="G37" i="4"/>
  <c r="F37" i="4"/>
  <c r="K36" i="4"/>
  <c r="J36" i="4"/>
  <c r="I36" i="4"/>
  <c r="H36" i="4"/>
  <c r="G36" i="4"/>
  <c r="F36" i="4"/>
  <c r="K35" i="4"/>
  <c r="J35" i="4"/>
  <c r="I35" i="4"/>
  <c r="H35" i="4"/>
  <c r="G35" i="4"/>
  <c r="F35" i="4"/>
  <c r="K34" i="4"/>
  <c r="J34" i="4"/>
  <c r="I34" i="4"/>
  <c r="H34" i="4"/>
  <c r="G34" i="4"/>
  <c r="F34" i="4"/>
  <c r="K33" i="4"/>
  <c r="J33" i="4"/>
  <c r="I33" i="4"/>
  <c r="H33" i="4"/>
  <c r="G33" i="4"/>
  <c r="F33" i="4"/>
  <c r="K32" i="4"/>
  <c r="J32" i="4"/>
  <c r="I32" i="4"/>
  <c r="H32" i="4"/>
  <c r="G32" i="4"/>
  <c r="F32" i="4"/>
  <c r="K31" i="4"/>
  <c r="J31" i="4"/>
  <c r="I31" i="4"/>
  <c r="H31" i="4"/>
  <c r="G31" i="4"/>
  <c r="F31" i="4"/>
  <c r="K30" i="4"/>
  <c r="J30" i="4"/>
  <c r="I30" i="4"/>
  <c r="H30" i="4"/>
  <c r="G30" i="4"/>
  <c r="F30" i="4"/>
  <c r="K29" i="4"/>
  <c r="J29" i="4"/>
  <c r="I29" i="4"/>
  <c r="H29" i="4"/>
  <c r="G29" i="4"/>
  <c r="F29" i="4"/>
  <c r="K28" i="4"/>
  <c r="J28" i="4"/>
  <c r="I28" i="4"/>
  <c r="H28" i="4"/>
  <c r="G28" i="4"/>
  <c r="F28" i="4"/>
  <c r="K27" i="4"/>
  <c r="J27" i="4"/>
  <c r="I27" i="4"/>
  <c r="H27" i="4"/>
  <c r="G27" i="4"/>
  <c r="F27" i="4"/>
  <c r="K26" i="4"/>
  <c r="J26" i="4"/>
  <c r="I26" i="4"/>
  <c r="H26" i="4"/>
  <c r="G26" i="4"/>
  <c r="F26" i="4"/>
  <c r="K25" i="4"/>
  <c r="J25" i="4"/>
  <c r="I25" i="4"/>
  <c r="H25" i="4"/>
  <c r="G25" i="4"/>
  <c r="F25" i="4"/>
  <c r="U24" i="4"/>
  <c r="J119" i="8" s="1"/>
  <c r="Q24" i="4"/>
  <c r="F119" i="8" s="1"/>
  <c r="K24" i="4"/>
  <c r="J24" i="4"/>
  <c r="I24" i="4"/>
  <c r="H24" i="4"/>
  <c r="G24" i="4"/>
  <c r="F24" i="4"/>
  <c r="U23" i="4"/>
  <c r="J113" i="8" s="1"/>
  <c r="Q23" i="4"/>
  <c r="J23" i="4"/>
  <c r="I23" i="4"/>
  <c r="K23" i="4" s="1"/>
  <c r="H23" i="4"/>
  <c r="F23" i="4"/>
  <c r="G23" i="4" s="1"/>
  <c r="U22" i="4"/>
  <c r="J107" i="8" s="1"/>
  <c r="Q22" i="4"/>
  <c r="F107" i="8" s="1"/>
  <c r="K22" i="4"/>
  <c r="J22" i="4"/>
  <c r="I22" i="4"/>
  <c r="H22" i="4"/>
  <c r="F22" i="4"/>
  <c r="G22" i="4" s="1"/>
  <c r="U21" i="4"/>
  <c r="Q21" i="4"/>
  <c r="K21" i="4"/>
  <c r="J21" i="4"/>
  <c r="I21" i="4"/>
  <c r="H21" i="4"/>
  <c r="G21" i="4"/>
  <c r="F21" i="4"/>
  <c r="U20" i="4"/>
  <c r="J95" i="8" s="1"/>
  <c r="Q20" i="4"/>
  <c r="F95" i="8" s="1"/>
  <c r="J20" i="4"/>
  <c r="I20" i="4"/>
  <c r="K20" i="4" s="1"/>
  <c r="H20" i="4"/>
  <c r="G20" i="4"/>
  <c r="F20" i="4"/>
  <c r="U19" i="4"/>
  <c r="Q19" i="4"/>
  <c r="F89" i="8" s="1"/>
  <c r="I19" i="4"/>
  <c r="K19" i="4" s="1"/>
  <c r="F19" i="4"/>
  <c r="G19" i="4" s="1"/>
  <c r="U18" i="4"/>
  <c r="J83" i="8" s="1"/>
  <c r="Q18" i="4"/>
  <c r="F83" i="8" s="1"/>
  <c r="K18" i="4"/>
  <c r="J18" i="4"/>
  <c r="I18" i="4"/>
  <c r="G18" i="4"/>
  <c r="F18" i="4"/>
  <c r="H18" i="4" s="1"/>
  <c r="U17" i="4"/>
  <c r="J77" i="8" s="1"/>
  <c r="Q17" i="4"/>
  <c r="I17" i="4"/>
  <c r="K17" i="4" s="1"/>
  <c r="H17" i="4"/>
  <c r="F17" i="4"/>
  <c r="G17" i="4" s="1"/>
  <c r="U16" i="4"/>
  <c r="J71" i="8" s="1"/>
  <c r="Q16" i="4"/>
  <c r="F71" i="8" s="1"/>
  <c r="K16" i="4"/>
  <c r="J16" i="4"/>
  <c r="I16" i="4"/>
  <c r="H16" i="4"/>
  <c r="G16" i="4"/>
  <c r="F16" i="4"/>
  <c r="U15" i="4"/>
  <c r="Q15" i="4"/>
  <c r="K15" i="4"/>
  <c r="J15" i="4"/>
  <c r="I15" i="4"/>
  <c r="H15" i="4"/>
  <c r="F15" i="4"/>
  <c r="G15" i="4" s="1"/>
  <c r="U14" i="4"/>
  <c r="J59" i="8" s="1"/>
  <c r="Q14" i="4"/>
  <c r="F59" i="8" s="1"/>
  <c r="J14" i="4"/>
  <c r="I14" i="4"/>
  <c r="K14" i="4" s="1"/>
  <c r="H14" i="4"/>
  <c r="F14" i="4"/>
  <c r="G14" i="4" s="1"/>
  <c r="U13" i="4"/>
  <c r="Q13" i="4"/>
  <c r="F53" i="8" s="1"/>
  <c r="J13" i="4"/>
  <c r="I13" i="4"/>
  <c r="K13" i="4" s="1"/>
  <c r="F13" i="4"/>
  <c r="G13" i="4" s="1"/>
  <c r="U12" i="4"/>
  <c r="J47" i="8" s="1"/>
  <c r="Q12" i="4"/>
  <c r="F47" i="8" s="1"/>
  <c r="K12" i="4"/>
  <c r="J12" i="4"/>
  <c r="I12" i="4"/>
  <c r="H12" i="4"/>
  <c r="G12" i="4"/>
  <c r="F12" i="4"/>
  <c r="U11" i="4"/>
  <c r="J41" i="8" s="1"/>
  <c r="Q11" i="4"/>
  <c r="J11" i="4"/>
  <c r="I11" i="4"/>
  <c r="K11" i="4" s="1"/>
  <c r="F11" i="4"/>
  <c r="G11" i="4" s="1"/>
  <c r="U10" i="4"/>
  <c r="J35" i="8" s="1"/>
  <c r="Q10" i="4"/>
  <c r="F35" i="8" s="1"/>
  <c r="K10" i="4"/>
  <c r="J10" i="4"/>
  <c r="I10" i="4"/>
  <c r="H10" i="4"/>
  <c r="G10" i="4"/>
  <c r="F10" i="4"/>
  <c r="U9" i="4"/>
  <c r="Q9" i="4"/>
  <c r="K9" i="4"/>
  <c r="J9" i="4"/>
  <c r="I9" i="4"/>
  <c r="H9" i="4"/>
  <c r="G9" i="4"/>
  <c r="F9" i="4"/>
  <c r="U8" i="4"/>
  <c r="J24" i="8" s="1"/>
  <c r="Q8" i="4"/>
  <c r="F24" i="8" s="1"/>
  <c r="J8" i="4"/>
  <c r="I8" i="4"/>
  <c r="K8" i="4" s="1"/>
  <c r="H8" i="4"/>
  <c r="G8" i="4"/>
  <c r="F8" i="4"/>
  <c r="U7" i="4"/>
  <c r="Q7" i="4"/>
  <c r="F18" i="8" s="1"/>
  <c r="J7" i="4"/>
  <c r="I7" i="4"/>
  <c r="K7" i="4" s="1"/>
  <c r="F7" i="4"/>
  <c r="G7" i="4" s="1"/>
  <c r="U6" i="4"/>
  <c r="J12" i="8" s="1"/>
  <c r="Q6" i="4"/>
  <c r="F12" i="8" s="1"/>
  <c r="K6" i="4"/>
  <c r="J6" i="4"/>
  <c r="I6" i="4"/>
  <c r="F6" i="4"/>
  <c r="P10" i="4" s="1"/>
  <c r="U5" i="4"/>
  <c r="J6" i="8" s="1"/>
  <c r="Q5" i="4"/>
  <c r="I5" i="4"/>
  <c r="K5" i="4" s="1"/>
  <c r="H5" i="4"/>
  <c r="F5" i="4"/>
  <c r="G5" i="4" s="1"/>
  <c r="K126" i="3"/>
  <c r="J126" i="3"/>
  <c r="I126" i="3"/>
  <c r="H126" i="3"/>
  <c r="G126" i="3"/>
  <c r="F126" i="3"/>
  <c r="K125" i="3"/>
  <c r="J125" i="3"/>
  <c r="I125" i="3"/>
  <c r="H125" i="3"/>
  <c r="G125" i="3"/>
  <c r="F125" i="3"/>
  <c r="K124" i="3"/>
  <c r="J124" i="3"/>
  <c r="I124" i="3"/>
  <c r="H124" i="3"/>
  <c r="G124" i="3"/>
  <c r="F124" i="3"/>
  <c r="K123" i="3"/>
  <c r="J123" i="3"/>
  <c r="I123" i="3"/>
  <c r="H123" i="3"/>
  <c r="G123" i="3"/>
  <c r="F123" i="3"/>
  <c r="K122" i="3"/>
  <c r="J122" i="3"/>
  <c r="I122" i="3"/>
  <c r="H122" i="3"/>
  <c r="G122" i="3"/>
  <c r="F122" i="3"/>
  <c r="K121" i="3"/>
  <c r="J121" i="3"/>
  <c r="I121" i="3"/>
  <c r="H121" i="3"/>
  <c r="G121" i="3"/>
  <c r="F121" i="3"/>
  <c r="K120" i="3"/>
  <c r="J120" i="3"/>
  <c r="I120" i="3"/>
  <c r="H120" i="3"/>
  <c r="G120" i="3"/>
  <c r="F120" i="3"/>
  <c r="K119" i="3"/>
  <c r="J119" i="3"/>
  <c r="I119" i="3"/>
  <c r="H119" i="3"/>
  <c r="G119" i="3"/>
  <c r="F119" i="3"/>
  <c r="K118" i="3"/>
  <c r="J118" i="3"/>
  <c r="I118" i="3"/>
  <c r="H118" i="3"/>
  <c r="G118" i="3"/>
  <c r="F118" i="3"/>
  <c r="K117" i="3"/>
  <c r="J117" i="3"/>
  <c r="I117" i="3"/>
  <c r="H117" i="3"/>
  <c r="G117" i="3"/>
  <c r="F117" i="3"/>
  <c r="K116" i="3"/>
  <c r="J116" i="3"/>
  <c r="I116" i="3"/>
  <c r="H116" i="3"/>
  <c r="G116" i="3"/>
  <c r="F116" i="3"/>
  <c r="K115" i="3"/>
  <c r="J115" i="3"/>
  <c r="I115" i="3"/>
  <c r="H115" i="3"/>
  <c r="G115" i="3"/>
  <c r="F115" i="3"/>
  <c r="K114" i="3"/>
  <c r="J114" i="3"/>
  <c r="I114" i="3"/>
  <c r="H114" i="3"/>
  <c r="G114" i="3"/>
  <c r="F114" i="3"/>
  <c r="K113" i="3"/>
  <c r="J113" i="3"/>
  <c r="I113" i="3"/>
  <c r="H113" i="3"/>
  <c r="G113" i="3"/>
  <c r="F113" i="3"/>
  <c r="K112" i="3"/>
  <c r="J112" i="3"/>
  <c r="I112" i="3"/>
  <c r="H112" i="3"/>
  <c r="G112" i="3"/>
  <c r="F112" i="3"/>
  <c r="K111" i="3"/>
  <c r="J111" i="3"/>
  <c r="I111" i="3"/>
  <c r="H111" i="3"/>
  <c r="G111" i="3"/>
  <c r="F111" i="3"/>
  <c r="K110" i="3"/>
  <c r="J110" i="3"/>
  <c r="I110" i="3"/>
  <c r="H110" i="3"/>
  <c r="G110" i="3"/>
  <c r="F110" i="3"/>
  <c r="K109" i="3"/>
  <c r="J109" i="3"/>
  <c r="I109" i="3"/>
  <c r="H109" i="3"/>
  <c r="G109" i="3"/>
  <c r="F109" i="3"/>
  <c r="K108" i="3"/>
  <c r="J108" i="3"/>
  <c r="I108" i="3"/>
  <c r="H108" i="3"/>
  <c r="G108" i="3"/>
  <c r="F108" i="3"/>
  <c r="K107" i="3"/>
  <c r="J107" i="3"/>
  <c r="I107" i="3"/>
  <c r="H107" i="3"/>
  <c r="G107" i="3"/>
  <c r="F107" i="3"/>
  <c r="K106" i="3"/>
  <c r="J106" i="3"/>
  <c r="I106" i="3"/>
  <c r="H106" i="3"/>
  <c r="G106" i="3"/>
  <c r="F106" i="3"/>
  <c r="K105" i="3"/>
  <c r="J105" i="3"/>
  <c r="I105" i="3"/>
  <c r="H105" i="3"/>
  <c r="G105" i="3"/>
  <c r="F105" i="3"/>
  <c r="K104" i="3"/>
  <c r="J104" i="3"/>
  <c r="I104" i="3"/>
  <c r="H104" i="3"/>
  <c r="G104" i="3"/>
  <c r="F104" i="3"/>
  <c r="K103" i="3"/>
  <c r="J103" i="3"/>
  <c r="I103" i="3"/>
  <c r="H103" i="3"/>
  <c r="G103" i="3"/>
  <c r="F103" i="3"/>
  <c r="K102" i="3"/>
  <c r="J102" i="3"/>
  <c r="I102" i="3"/>
  <c r="H102" i="3"/>
  <c r="G102" i="3"/>
  <c r="F102" i="3"/>
  <c r="K101" i="3"/>
  <c r="J101" i="3"/>
  <c r="I101" i="3"/>
  <c r="H101" i="3"/>
  <c r="G101" i="3"/>
  <c r="F101" i="3"/>
  <c r="K100" i="3"/>
  <c r="J100" i="3"/>
  <c r="I100" i="3"/>
  <c r="H100" i="3"/>
  <c r="G100" i="3"/>
  <c r="F100" i="3"/>
  <c r="K99" i="3"/>
  <c r="J99" i="3"/>
  <c r="I99" i="3"/>
  <c r="H99" i="3"/>
  <c r="G99" i="3"/>
  <c r="F99" i="3"/>
  <c r="K98" i="3"/>
  <c r="J98" i="3"/>
  <c r="I98" i="3"/>
  <c r="H98" i="3"/>
  <c r="G98" i="3"/>
  <c r="F98" i="3"/>
  <c r="K97" i="3"/>
  <c r="J97" i="3"/>
  <c r="I97" i="3"/>
  <c r="H97" i="3"/>
  <c r="G97" i="3"/>
  <c r="F97" i="3"/>
  <c r="K96" i="3"/>
  <c r="J96" i="3"/>
  <c r="I96" i="3"/>
  <c r="H96" i="3"/>
  <c r="G96" i="3"/>
  <c r="F96" i="3"/>
  <c r="K95" i="3"/>
  <c r="J95" i="3"/>
  <c r="I95" i="3"/>
  <c r="H95" i="3"/>
  <c r="G95" i="3"/>
  <c r="F95" i="3"/>
  <c r="K94" i="3"/>
  <c r="J94" i="3"/>
  <c r="I94" i="3"/>
  <c r="H94" i="3"/>
  <c r="G94" i="3"/>
  <c r="F94" i="3"/>
  <c r="K93" i="3"/>
  <c r="J93" i="3"/>
  <c r="I93" i="3"/>
  <c r="H93" i="3"/>
  <c r="G93" i="3"/>
  <c r="F93" i="3"/>
  <c r="K92" i="3"/>
  <c r="J92" i="3"/>
  <c r="I92" i="3"/>
  <c r="H92" i="3"/>
  <c r="G92" i="3"/>
  <c r="F92" i="3"/>
  <c r="K91" i="3"/>
  <c r="J91" i="3"/>
  <c r="I91" i="3"/>
  <c r="H91" i="3"/>
  <c r="G91" i="3"/>
  <c r="F91" i="3"/>
  <c r="K90" i="3"/>
  <c r="J90" i="3"/>
  <c r="I90" i="3"/>
  <c r="H90" i="3"/>
  <c r="G90" i="3"/>
  <c r="F90" i="3"/>
  <c r="K89" i="3"/>
  <c r="J89" i="3"/>
  <c r="I89" i="3"/>
  <c r="H89" i="3"/>
  <c r="G89" i="3"/>
  <c r="F89" i="3"/>
  <c r="K88" i="3"/>
  <c r="J88" i="3"/>
  <c r="I88" i="3"/>
  <c r="H88" i="3"/>
  <c r="G88" i="3"/>
  <c r="F88" i="3"/>
  <c r="K87" i="3"/>
  <c r="J87" i="3"/>
  <c r="I87" i="3"/>
  <c r="H87" i="3"/>
  <c r="G87" i="3"/>
  <c r="F87" i="3"/>
  <c r="K86" i="3"/>
  <c r="J86" i="3"/>
  <c r="I86" i="3"/>
  <c r="H86" i="3"/>
  <c r="G86" i="3"/>
  <c r="F86" i="3"/>
  <c r="K85" i="3"/>
  <c r="J85" i="3"/>
  <c r="I85" i="3"/>
  <c r="H85" i="3"/>
  <c r="G85" i="3"/>
  <c r="F85" i="3"/>
  <c r="K84" i="3"/>
  <c r="J84" i="3"/>
  <c r="I84" i="3"/>
  <c r="H84" i="3"/>
  <c r="G84" i="3"/>
  <c r="F84" i="3"/>
  <c r="K83" i="3"/>
  <c r="J83" i="3"/>
  <c r="I83" i="3"/>
  <c r="H83" i="3"/>
  <c r="G83" i="3"/>
  <c r="F83" i="3"/>
  <c r="K82" i="3"/>
  <c r="J82" i="3"/>
  <c r="I82" i="3"/>
  <c r="H82" i="3"/>
  <c r="G82" i="3"/>
  <c r="F82" i="3"/>
  <c r="K81" i="3"/>
  <c r="J81" i="3"/>
  <c r="I81" i="3"/>
  <c r="H81" i="3"/>
  <c r="G81" i="3"/>
  <c r="F81" i="3"/>
  <c r="K80" i="3"/>
  <c r="J80" i="3"/>
  <c r="I80" i="3"/>
  <c r="H80" i="3"/>
  <c r="G80" i="3"/>
  <c r="F80" i="3"/>
  <c r="K79" i="3"/>
  <c r="J79" i="3"/>
  <c r="I79" i="3"/>
  <c r="H79" i="3"/>
  <c r="G79" i="3"/>
  <c r="F79" i="3"/>
  <c r="K78" i="3"/>
  <c r="J78" i="3"/>
  <c r="I78" i="3"/>
  <c r="H78" i="3"/>
  <c r="G78" i="3"/>
  <c r="F78" i="3"/>
  <c r="K77" i="3"/>
  <c r="J77" i="3"/>
  <c r="I77" i="3"/>
  <c r="H77" i="3"/>
  <c r="G77" i="3"/>
  <c r="F77" i="3"/>
  <c r="K76" i="3"/>
  <c r="J76" i="3"/>
  <c r="I76" i="3"/>
  <c r="H76" i="3"/>
  <c r="G76" i="3"/>
  <c r="F76" i="3"/>
  <c r="K75" i="3"/>
  <c r="J75" i="3"/>
  <c r="I75" i="3"/>
  <c r="H75" i="3"/>
  <c r="G75" i="3"/>
  <c r="F75" i="3"/>
  <c r="K74" i="3"/>
  <c r="J74" i="3"/>
  <c r="I74" i="3"/>
  <c r="H74" i="3"/>
  <c r="G74" i="3"/>
  <c r="F74" i="3"/>
  <c r="K73" i="3"/>
  <c r="J73" i="3"/>
  <c r="I73" i="3"/>
  <c r="H73" i="3"/>
  <c r="G73" i="3"/>
  <c r="F73" i="3"/>
  <c r="K72" i="3"/>
  <c r="J72" i="3"/>
  <c r="I72" i="3"/>
  <c r="H72" i="3"/>
  <c r="G72" i="3"/>
  <c r="F72" i="3"/>
  <c r="K71" i="3"/>
  <c r="J71" i="3"/>
  <c r="I71" i="3"/>
  <c r="H71" i="3"/>
  <c r="G71" i="3"/>
  <c r="F71" i="3"/>
  <c r="K70" i="3"/>
  <c r="J70" i="3"/>
  <c r="I70" i="3"/>
  <c r="H70" i="3"/>
  <c r="G70" i="3"/>
  <c r="F70" i="3"/>
  <c r="K69" i="3"/>
  <c r="J69" i="3"/>
  <c r="I69" i="3"/>
  <c r="H69" i="3"/>
  <c r="G69" i="3"/>
  <c r="F69" i="3"/>
  <c r="K68" i="3"/>
  <c r="J68" i="3"/>
  <c r="I68" i="3"/>
  <c r="H68" i="3"/>
  <c r="G68" i="3"/>
  <c r="F68" i="3"/>
  <c r="K67" i="3"/>
  <c r="J67" i="3"/>
  <c r="I67" i="3"/>
  <c r="H67" i="3"/>
  <c r="G67" i="3"/>
  <c r="F67" i="3"/>
  <c r="K66" i="3"/>
  <c r="J66" i="3"/>
  <c r="I66" i="3"/>
  <c r="H66" i="3"/>
  <c r="G66" i="3"/>
  <c r="F66" i="3"/>
  <c r="K65" i="3"/>
  <c r="J65" i="3"/>
  <c r="I65" i="3"/>
  <c r="H65" i="3"/>
  <c r="G65" i="3"/>
  <c r="F65" i="3"/>
  <c r="K64" i="3"/>
  <c r="J64" i="3"/>
  <c r="I64" i="3"/>
  <c r="H64" i="3"/>
  <c r="G64" i="3"/>
  <c r="F64" i="3"/>
  <c r="K63" i="3"/>
  <c r="J63" i="3"/>
  <c r="I63" i="3"/>
  <c r="H63" i="3"/>
  <c r="G63" i="3"/>
  <c r="F63" i="3"/>
  <c r="K62" i="3"/>
  <c r="J62" i="3"/>
  <c r="I62" i="3"/>
  <c r="H62" i="3"/>
  <c r="G62" i="3"/>
  <c r="F62" i="3"/>
  <c r="K61" i="3"/>
  <c r="J61" i="3"/>
  <c r="I61" i="3"/>
  <c r="H61" i="3"/>
  <c r="G61" i="3"/>
  <c r="F61" i="3"/>
  <c r="K60" i="3"/>
  <c r="J60" i="3"/>
  <c r="I60" i="3"/>
  <c r="H60" i="3"/>
  <c r="G60" i="3"/>
  <c r="F60" i="3"/>
  <c r="K59" i="3"/>
  <c r="J59" i="3"/>
  <c r="I59" i="3"/>
  <c r="H59" i="3"/>
  <c r="G59" i="3"/>
  <c r="F59" i="3"/>
  <c r="K58" i="3"/>
  <c r="J58" i="3"/>
  <c r="I58" i="3"/>
  <c r="H58" i="3"/>
  <c r="G58" i="3"/>
  <c r="F58" i="3"/>
  <c r="K57" i="3"/>
  <c r="J57" i="3"/>
  <c r="I57" i="3"/>
  <c r="H57" i="3"/>
  <c r="G57" i="3"/>
  <c r="F57" i="3"/>
  <c r="K56" i="3"/>
  <c r="J56" i="3"/>
  <c r="I56" i="3"/>
  <c r="H56" i="3"/>
  <c r="G56" i="3"/>
  <c r="F56" i="3"/>
  <c r="K55" i="3"/>
  <c r="J55" i="3"/>
  <c r="I55" i="3"/>
  <c r="H55" i="3"/>
  <c r="G55" i="3"/>
  <c r="F55" i="3"/>
  <c r="K54" i="3"/>
  <c r="J54" i="3"/>
  <c r="I54" i="3"/>
  <c r="H54" i="3"/>
  <c r="G54" i="3"/>
  <c r="F54" i="3"/>
  <c r="K53" i="3"/>
  <c r="J53" i="3"/>
  <c r="I53" i="3"/>
  <c r="H53" i="3"/>
  <c r="G53" i="3"/>
  <c r="F53" i="3"/>
  <c r="K52" i="3"/>
  <c r="J52" i="3"/>
  <c r="I52" i="3"/>
  <c r="H52" i="3"/>
  <c r="G52" i="3"/>
  <c r="F52" i="3"/>
  <c r="K51" i="3"/>
  <c r="J51" i="3"/>
  <c r="I51" i="3"/>
  <c r="H51" i="3"/>
  <c r="G51" i="3"/>
  <c r="F51" i="3"/>
  <c r="K50" i="3"/>
  <c r="J50" i="3"/>
  <c r="I50" i="3"/>
  <c r="H50" i="3"/>
  <c r="G50" i="3"/>
  <c r="F50" i="3"/>
  <c r="K49" i="3"/>
  <c r="J49" i="3"/>
  <c r="I49" i="3"/>
  <c r="H49" i="3"/>
  <c r="G49" i="3"/>
  <c r="F49" i="3"/>
  <c r="K48" i="3"/>
  <c r="J48" i="3"/>
  <c r="I48" i="3"/>
  <c r="H48" i="3"/>
  <c r="G48" i="3"/>
  <c r="F48" i="3"/>
  <c r="K47" i="3"/>
  <c r="J47" i="3"/>
  <c r="I47" i="3"/>
  <c r="H47" i="3"/>
  <c r="G47" i="3"/>
  <c r="F47" i="3"/>
  <c r="K46" i="3"/>
  <c r="J46" i="3"/>
  <c r="I46" i="3"/>
  <c r="H46" i="3"/>
  <c r="G46" i="3"/>
  <c r="F46" i="3"/>
  <c r="K45" i="3"/>
  <c r="J45" i="3"/>
  <c r="I45" i="3"/>
  <c r="H45" i="3"/>
  <c r="G45" i="3"/>
  <c r="F45" i="3"/>
  <c r="K44" i="3"/>
  <c r="J44" i="3"/>
  <c r="I44" i="3"/>
  <c r="H44" i="3"/>
  <c r="G44" i="3"/>
  <c r="F44" i="3"/>
  <c r="K43" i="3"/>
  <c r="J43" i="3"/>
  <c r="I43" i="3"/>
  <c r="H43" i="3"/>
  <c r="G43" i="3"/>
  <c r="F43" i="3"/>
  <c r="K42" i="3"/>
  <c r="J42" i="3"/>
  <c r="I42" i="3"/>
  <c r="H42" i="3"/>
  <c r="G42" i="3"/>
  <c r="F42" i="3"/>
  <c r="K41" i="3"/>
  <c r="J41" i="3"/>
  <c r="I41" i="3"/>
  <c r="H41" i="3"/>
  <c r="G41" i="3"/>
  <c r="F41" i="3"/>
  <c r="K40" i="3"/>
  <c r="J40" i="3"/>
  <c r="I40" i="3"/>
  <c r="H40" i="3"/>
  <c r="G40" i="3"/>
  <c r="F40" i="3"/>
  <c r="K39" i="3"/>
  <c r="J39" i="3"/>
  <c r="I39" i="3"/>
  <c r="H39" i="3"/>
  <c r="G39" i="3"/>
  <c r="F39" i="3"/>
  <c r="K38" i="3"/>
  <c r="J38" i="3"/>
  <c r="I38" i="3"/>
  <c r="H38" i="3"/>
  <c r="G38" i="3"/>
  <c r="F38" i="3"/>
  <c r="K37" i="3"/>
  <c r="J37" i="3"/>
  <c r="I37" i="3"/>
  <c r="H37" i="3"/>
  <c r="G37" i="3"/>
  <c r="F37" i="3"/>
  <c r="K36" i="3"/>
  <c r="J36" i="3"/>
  <c r="I36" i="3"/>
  <c r="H36" i="3"/>
  <c r="G36" i="3"/>
  <c r="F36" i="3"/>
  <c r="K35" i="3"/>
  <c r="J35" i="3"/>
  <c r="I35" i="3"/>
  <c r="H35" i="3"/>
  <c r="G35" i="3"/>
  <c r="F35" i="3"/>
  <c r="K34" i="3"/>
  <c r="J34" i="3"/>
  <c r="I34" i="3"/>
  <c r="H34" i="3"/>
  <c r="G34" i="3"/>
  <c r="F34" i="3"/>
  <c r="K33" i="3"/>
  <c r="J33" i="3"/>
  <c r="I33" i="3"/>
  <c r="H33" i="3"/>
  <c r="G33" i="3"/>
  <c r="F33" i="3"/>
  <c r="K32" i="3"/>
  <c r="J32" i="3"/>
  <c r="I32" i="3"/>
  <c r="H32" i="3"/>
  <c r="G32" i="3"/>
  <c r="F32" i="3"/>
  <c r="K31" i="3"/>
  <c r="J31" i="3"/>
  <c r="I31" i="3"/>
  <c r="H31" i="3"/>
  <c r="G31" i="3"/>
  <c r="F31" i="3"/>
  <c r="K30" i="3"/>
  <c r="J30" i="3"/>
  <c r="I30" i="3"/>
  <c r="H30" i="3"/>
  <c r="G30" i="3"/>
  <c r="F30" i="3"/>
  <c r="K29" i="3"/>
  <c r="J29" i="3"/>
  <c r="I29" i="3"/>
  <c r="H29" i="3"/>
  <c r="G29" i="3"/>
  <c r="F29" i="3"/>
  <c r="K28" i="3"/>
  <c r="J28" i="3"/>
  <c r="I28" i="3"/>
  <c r="H28" i="3"/>
  <c r="G28" i="3"/>
  <c r="F28" i="3"/>
  <c r="K27" i="3"/>
  <c r="J27" i="3"/>
  <c r="I27" i="3"/>
  <c r="H27" i="3"/>
  <c r="G27" i="3"/>
  <c r="F27" i="3"/>
  <c r="K26" i="3"/>
  <c r="J26" i="3"/>
  <c r="I26" i="3"/>
  <c r="H26" i="3"/>
  <c r="G26" i="3"/>
  <c r="F26" i="3"/>
  <c r="K25" i="3"/>
  <c r="J25" i="3"/>
  <c r="I25" i="3"/>
  <c r="H25" i="3"/>
  <c r="G25" i="3"/>
  <c r="F25" i="3"/>
  <c r="U24" i="3"/>
  <c r="J118" i="8" s="1"/>
  <c r="Q24" i="3"/>
  <c r="F118" i="8" s="1"/>
  <c r="K24" i="3"/>
  <c r="J24" i="3"/>
  <c r="I24" i="3"/>
  <c r="H24" i="3"/>
  <c r="G24" i="3"/>
  <c r="F24" i="3"/>
  <c r="U23" i="3"/>
  <c r="Q23" i="3"/>
  <c r="K23" i="3"/>
  <c r="J23" i="3"/>
  <c r="I23" i="3"/>
  <c r="H23" i="3"/>
  <c r="G23" i="3"/>
  <c r="F23" i="3"/>
  <c r="U22" i="3"/>
  <c r="J106" i="8" s="1"/>
  <c r="Q22" i="3"/>
  <c r="F106" i="8" s="1"/>
  <c r="K22" i="3"/>
  <c r="J22" i="3"/>
  <c r="I22" i="3"/>
  <c r="H22" i="3"/>
  <c r="G22" i="3"/>
  <c r="F22" i="3"/>
  <c r="U21" i="3"/>
  <c r="Q21" i="3"/>
  <c r="K21" i="3"/>
  <c r="J21" i="3"/>
  <c r="I21" i="3"/>
  <c r="H21" i="3"/>
  <c r="G21" i="3"/>
  <c r="F21" i="3"/>
  <c r="U20" i="3"/>
  <c r="J94" i="8" s="1"/>
  <c r="Q20" i="3"/>
  <c r="F94" i="8" s="1"/>
  <c r="K20" i="3"/>
  <c r="J20" i="3"/>
  <c r="I20" i="3"/>
  <c r="H20" i="3"/>
  <c r="G20" i="3"/>
  <c r="F20" i="3"/>
  <c r="U19" i="3"/>
  <c r="Q19" i="3"/>
  <c r="K19" i="3"/>
  <c r="J19" i="3"/>
  <c r="I19" i="3"/>
  <c r="H19" i="3"/>
  <c r="G19" i="3"/>
  <c r="F19" i="3"/>
  <c r="U18" i="3"/>
  <c r="J82" i="8" s="1"/>
  <c r="Q18" i="3"/>
  <c r="F82" i="8" s="1"/>
  <c r="K18" i="3"/>
  <c r="J18" i="3"/>
  <c r="I18" i="3"/>
  <c r="H18" i="3"/>
  <c r="G18" i="3"/>
  <c r="F18" i="3"/>
  <c r="U17" i="3"/>
  <c r="J76" i="8" s="1"/>
  <c r="Q17" i="3"/>
  <c r="F76" i="8" s="1"/>
  <c r="K17" i="3"/>
  <c r="J17" i="3"/>
  <c r="I17" i="3"/>
  <c r="H17" i="3"/>
  <c r="G17" i="3"/>
  <c r="F17" i="3"/>
  <c r="U16" i="3"/>
  <c r="J70" i="8" s="1"/>
  <c r="Q16" i="3"/>
  <c r="F70" i="8" s="1"/>
  <c r="K16" i="3"/>
  <c r="J16" i="3"/>
  <c r="I16" i="3"/>
  <c r="H16" i="3"/>
  <c r="G16" i="3"/>
  <c r="F16" i="3"/>
  <c r="U15" i="3"/>
  <c r="J64" i="8" s="1"/>
  <c r="Q15" i="3"/>
  <c r="K15" i="3"/>
  <c r="J15" i="3"/>
  <c r="I15" i="3"/>
  <c r="H15" i="3"/>
  <c r="G15" i="3"/>
  <c r="F15" i="3"/>
  <c r="U14" i="3"/>
  <c r="J58" i="8" s="1"/>
  <c r="Q14" i="3"/>
  <c r="F58" i="8" s="1"/>
  <c r="K14" i="3"/>
  <c r="J14" i="3"/>
  <c r="I14" i="3"/>
  <c r="H14" i="3"/>
  <c r="G14" i="3"/>
  <c r="F14" i="3"/>
  <c r="U13" i="3"/>
  <c r="Q13" i="3"/>
  <c r="F52" i="8" s="1"/>
  <c r="K13" i="3"/>
  <c r="J13" i="3"/>
  <c r="I13" i="3"/>
  <c r="H13" i="3"/>
  <c r="G13" i="3"/>
  <c r="F13" i="3"/>
  <c r="U12" i="3"/>
  <c r="J46" i="8" s="1"/>
  <c r="Q12" i="3"/>
  <c r="F46" i="8" s="1"/>
  <c r="K12" i="3"/>
  <c r="J12" i="3"/>
  <c r="I12" i="3"/>
  <c r="H12" i="3"/>
  <c r="G12" i="3"/>
  <c r="F12" i="3"/>
  <c r="U11" i="3"/>
  <c r="J40" i="8" s="1"/>
  <c r="Q11" i="3"/>
  <c r="F40" i="8" s="1"/>
  <c r="K11" i="3"/>
  <c r="J11" i="3"/>
  <c r="I11" i="3"/>
  <c r="H11" i="3"/>
  <c r="G11" i="3"/>
  <c r="F11" i="3"/>
  <c r="U10" i="3"/>
  <c r="J34" i="8" s="1"/>
  <c r="Q10" i="3"/>
  <c r="F34" i="8" s="1"/>
  <c r="K10" i="3"/>
  <c r="J10" i="3"/>
  <c r="I10" i="3"/>
  <c r="H10" i="3"/>
  <c r="G10" i="3"/>
  <c r="F10" i="3"/>
  <c r="P13" i="3" s="1"/>
  <c r="U9" i="3"/>
  <c r="J29" i="8" s="1"/>
  <c r="Q9" i="3"/>
  <c r="K9" i="3"/>
  <c r="J9" i="3"/>
  <c r="I9" i="3"/>
  <c r="T12" i="3" s="1"/>
  <c r="H9" i="3"/>
  <c r="G9" i="3"/>
  <c r="F9" i="3"/>
  <c r="U8" i="3"/>
  <c r="J23" i="8" s="1"/>
  <c r="Q8" i="3"/>
  <c r="F23" i="8" s="1"/>
  <c r="K8" i="3"/>
  <c r="J8" i="3"/>
  <c r="I8" i="3"/>
  <c r="T13" i="3" s="1"/>
  <c r="H8" i="3"/>
  <c r="G8" i="3"/>
  <c r="F8" i="3"/>
  <c r="U7" i="3"/>
  <c r="Q7" i="3"/>
  <c r="F17" i="8" s="1"/>
  <c r="P7" i="3"/>
  <c r="E17" i="8" s="1"/>
  <c r="K7" i="3"/>
  <c r="J7" i="3"/>
  <c r="I7" i="3"/>
  <c r="T22" i="3" s="1"/>
  <c r="H7" i="3"/>
  <c r="G7" i="3"/>
  <c r="F7" i="3"/>
  <c r="P23" i="3" s="1"/>
  <c r="U6" i="3"/>
  <c r="J11" i="8" s="1"/>
  <c r="Q6" i="3"/>
  <c r="F11" i="8" s="1"/>
  <c r="P6" i="3"/>
  <c r="E11" i="8" s="1"/>
  <c r="K6" i="3"/>
  <c r="J6" i="3"/>
  <c r="I6" i="3"/>
  <c r="H6" i="3"/>
  <c r="G6" i="3"/>
  <c r="F6" i="3"/>
  <c r="P18" i="3" s="1"/>
  <c r="U5" i="3"/>
  <c r="J5" i="8" s="1"/>
  <c r="T5" i="3"/>
  <c r="I5" i="8" s="1"/>
  <c r="Q5" i="3"/>
  <c r="F5" i="8" s="1"/>
  <c r="K5" i="3"/>
  <c r="J5" i="3"/>
  <c r="I5" i="3"/>
  <c r="T8" i="3" s="1"/>
  <c r="H5" i="3"/>
  <c r="G5" i="3"/>
  <c r="F5" i="3"/>
  <c r="P16" i="3" s="1"/>
  <c r="K126" i="2"/>
  <c r="J126" i="2"/>
  <c r="I126" i="2"/>
  <c r="H126" i="2"/>
  <c r="G126" i="2"/>
  <c r="F126" i="2"/>
  <c r="K125" i="2"/>
  <c r="J125" i="2"/>
  <c r="I125" i="2"/>
  <c r="H125" i="2"/>
  <c r="G125" i="2"/>
  <c r="F125" i="2"/>
  <c r="K124" i="2"/>
  <c r="J124" i="2"/>
  <c r="I124" i="2"/>
  <c r="H124" i="2"/>
  <c r="G124" i="2"/>
  <c r="F124" i="2"/>
  <c r="K123" i="2"/>
  <c r="J123" i="2"/>
  <c r="I123" i="2"/>
  <c r="H123" i="2"/>
  <c r="G123" i="2"/>
  <c r="F123" i="2"/>
  <c r="K122" i="2"/>
  <c r="J122" i="2"/>
  <c r="I122" i="2"/>
  <c r="H122" i="2"/>
  <c r="G122" i="2"/>
  <c r="F122" i="2"/>
  <c r="K121" i="2"/>
  <c r="J121" i="2"/>
  <c r="I121" i="2"/>
  <c r="H121" i="2"/>
  <c r="G121" i="2"/>
  <c r="F121" i="2"/>
  <c r="K120" i="2"/>
  <c r="J120" i="2"/>
  <c r="I120" i="2"/>
  <c r="H120" i="2"/>
  <c r="G120" i="2"/>
  <c r="F120" i="2"/>
  <c r="K119" i="2"/>
  <c r="J119" i="2"/>
  <c r="I119" i="2"/>
  <c r="H119" i="2"/>
  <c r="G119" i="2"/>
  <c r="F119" i="2"/>
  <c r="K118" i="2"/>
  <c r="J118" i="2"/>
  <c r="I118" i="2"/>
  <c r="H118" i="2"/>
  <c r="G118" i="2"/>
  <c r="F118" i="2"/>
  <c r="K117" i="2"/>
  <c r="J117" i="2"/>
  <c r="I117" i="2"/>
  <c r="H117" i="2"/>
  <c r="G117" i="2"/>
  <c r="F117" i="2"/>
  <c r="K116" i="2"/>
  <c r="J116" i="2"/>
  <c r="I116" i="2"/>
  <c r="H116" i="2"/>
  <c r="G116" i="2"/>
  <c r="F116" i="2"/>
  <c r="K115" i="2"/>
  <c r="J115" i="2"/>
  <c r="I115" i="2"/>
  <c r="H115" i="2"/>
  <c r="G115" i="2"/>
  <c r="F115" i="2"/>
  <c r="K114" i="2"/>
  <c r="J114" i="2"/>
  <c r="I114" i="2"/>
  <c r="H114" i="2"/>
  <c r="G114" i="2"/>
  <c r="F114" i="2"/>
  <c r="K113" i="2"/>
  <c r="J113" i="2"/>
  <c r="I113" i="2"/>
  <c r="H113" i="2"/>
  <c r="G113" i="2"/>
  <c r="F113" i="2"/>
  <c r="K112" i="2"/>
  <c r="J112" i="2"/>
  <c r="I112" i="2"/>
  <c r="H112" i="2"/>
  <c r="G112" i="2"/>
  <c r="F112" i="2"/>
  <c r="K111" i="2"/>
  <c r="J111" i="2"/>
  <c r="I111" i="2"/>
  <c r="H111" i="2"/>
  <c r="G111" i="2"/>
  <c r="F111" i="2"/>
  <c r="K110" i="2"/>
  <c r="J110" i="2"/>
  <c r="I110" i="2"/>
  <c r="H110" i="2"/>
  <c r="G110" i="2"/>
  <c r="F110" i="2"/>
  <c r="K109" i="2"/>
  <c r="J109" i="2"/>
  <c r="I109" i="2"/>
  <c r="H109" i="2"/>
  <c r="G109" i="2"/>
  <c r="F109" i="2"/>
  <c r="K108" i="2"/>
  <c r="J108" i="2"/>
  <c r="I108" i="2"/>
  <c r="H108" i="2"/>
  <c r="G108" i="2"/>
  <c r="F108" i="2"/>
  <c r="K107" i="2"/>
  <c r="J107" i="2"/>
  <c r="I107" i="2"/>
  <c r="H107" i="2"/>
  <c r="G107" i="2"/>
  <c r="F107" i="2"/>
  <c r="K106" i="2"/>
  <c r="J106" i="2"/>
  <c r="I106" i="2"/>
  <c r="H106" i="2"/>
  <c r="G106" i="2"/>
  <c r="F106" i="2"/>
  <c r="K105" i="2"/>
  <c r="J105" i="2"/>
  <c r="I105" i="2"/>
  <c r="H105" i="2"/>
  <c r="G105" i="2"/>
  <c r="F105" i="2"/>
  <c r="K104" i="2"/>
  <c r="J104" i="2"/>
  <c r="I104" i="2"/>
  <c r="H104" i="2"/>
  <c r="G104" i="2"/>
  <c r="F104" i="2"/>
  <c r="K103" i="2"/>
  <c r="J103" i="2"/>
  <c r="I103" i="2"/>
  <c r="H103" i="2"/>
  <c r="G103" i="2"/>
  <c r="F103" i="2"/>
  <c r="K102" i="2"/>
  <c r="J102" i="2"/>
  <c r="I102" i="2"/>
  <c r="H102" i="2"/>
  <c r="G102" i="2"/>
  <c r="F102" i="2"/>
  <c r="K101" i="2"/>
  <c r="J101" i="2"/>
  <c r="I101" i="2"/>
  <c r="H101" i="2"/>
  <c r="G101" i="2"/>
  <c r="F101" i="2"/>
  <c r="K100" i="2"/>
  <c r="J100" i="2"/>
  <c r="I100" i="2"/>
  <c r="H100" i="2"/>
  <c r="G100" i="2"/>
  <c r="F100" i="2"/>
  <c r="K99" i="2"/>
  <c r="J99" i="2"/>
  <c r="I99" i="2"/>
  <c r="H99" i="2"/>
  <c r="G99" i="2"/>
  <c r="F99" i="2"/>
  <c r="K98" i="2"/>
  <c r="J98" i="2"/>
  <c r="I98" i="2"/>
  <c r="H98" i="2"/>
  <c r="G98" i="2"/>
  <c r="F98" i="2"/>
  <c r="K97" i="2"/>
  <c r="J97" i="2"/>
  <c r="I97" i="2"/>
  <c r="H97" i="2"/>
  <c r="G97" i="2"/>
  <c r="F97" i="2"/>
  <c r="K96" i="2"/>
  <c r="J96" i="2"/>
  <c r="I96" i="2"/>
  <c r="H96" i="2"/>
  <c r="G96" i="2"/>
  <c r="F96" i="2"/>
  <c r="K95" i="2"/>
  <c r="J95" i="2"/>
  <c r="I95" i="2"/>
  <c r="H95" i="2"/>
  <c r="G95" i="2"/>
  <c r="F95" i="2"/>
  <c r="K94" i="2"/>
  <c r="J94" i="2"/>
  <c r="I94" i="2"/>
  <c r="H94" i="2"/>
  <c r="G94" i="2"/>
  <c r="F94" i="2"/>
  <c r="K93" i="2"/>
  <c r="J93" i="2"/>
  <c r="I93" i="2"/>
  <c r="H93" i="2"/>
  <c r="G93" i="2"/>
  <c r="F93" i="2"/>
  <c r="K92" i="2"/>
  <c r="J92" i="2"/>
  <c r="I92" i="2"/>
  <c r="H92" i="2"/>
  <c r="G92" i="2"/>
  <c r="F92" i="2"/>
  <c r="K91" i="2"/>
  <c r="J91" i="2"/>
  <c r="I91" i="2"/>
  <c r="H91" i="2"/>
  <c r="G91" i="2"/>
  <c r="F91" i="2"/>
  <c r="K90" i="2"/>
  <c r="J90" i="2"/>
  <c r="I90" i="2"/>
  <c r="H90" i="2"/>
  <c r="G90" i="2"/>
  <c r="F90" i="2"/>
  <c r="K89" i="2"/>
  <c r="J89" i="2"/>
  <c r="I89" i="2"/>
  <c r="H89" i="2"/>
  <c r="G89" i="2"/>
  <c r="F89" i="2"/>
  <c r="K88" i="2"/>
  <c r="J88" i="2"/>
  <c r="I88" i="2"/>
  <c r="H88" i="2"/>
  <c r="G88" i="2"/>
  <c r="F88" i="2"/>
  <c r="K87" i="2"/>
  <c r="J87" i="2"/>
  <c r="I87" i="2"/>
  <c r="H87" i="2"/>
  <c r="G87" i="2"/>
  <c r="F87" i="2"/>
  <c r="K86" i="2"/>
  <c r="J86" i="2"/>
  <c r="I86" i="2"/>
  <c r="H86" i="2"/>
  <c r="G86" i="2"/>
  <c r="F86" i="2"/>
  <c r="K85" i="2"/>
  <c r="J85" i="2"/>
  <c r="I85" i="2"/>
  <c r="H85" i="2"/>
  <c r="G85" i="2"/>
  <c r="F85" i="2"/>
  <c r="K84" i="2"/>
  <c r="J84" i="2"/>
  <c r="I84" i="2"/>
  <c r="H84" i="2"/>
  <c r="G84" i="2"/>
  <c r="F84" i="2"/>
  <c r="K83" i="2"/>
  <c r="J83" i="2"/>
  <c r="I83" i="2"/>
  <c r="H83" i="2"/>
  <c r="G83" i="2"/>
  <c r="F83" i="2"/>
  <c r="K82" i="2"/>
  <c r="J82" i="2"/>
  <c r="I82" i="2"/>
  <c r="H82" i="2"/>
  <c r="G82" i="2"/>
  <c r="F82" i="2"/>
  <c r="K81" i="2"/>
  <c r="J81" i="2"/>
  <c r="I81" i="2"/>
  <c r="H81" i="2"/>
  <c r="G81" i="2"/>
  <c r="F81" i="2"/>
  <c r="K80" i="2"/>
  <c r="J80" i="2"/>
  <c r="I80" i="2"/>
  <c r="H80" i="2"/>
  <c r="G80" i="2"/>
  <c r="F80" i="2"/>
  <c r="K79" i="2"/>
  <c r="J79" i="2"/>
  <c r="I79" i="2"/>
  <c r="H79" i="2"/>
  <c r="G79" i="2"/>
  <c r="F79" i="2"/>
  <c r="K78" i="2"/>
  <c r="J78" i="2"/>
  <c r="I78" i="2"/>
  <c r="H78" i="2"/>
  <c r="G78" i="2"/>
  <c r="F78" i="2"/>
  <c r="K77" i="2"/>
  <c r="J77" i="2"/>
  <c r="I77" i="2"/>
  <c r="H77" i="2"/>
  <c r="G77" i="2"/>
  <c r="F77" i="2"/>
  <c r="K76" i="2"/>
  <c r="J76" i="2"/>
  <c r="I76" i="2"/>
  <c r="H76" i="2"/>
  <c r="G76" i="2"/>
  <c r="F76" i="2"/>
  <c r="K75" i="2"/>
  <c r="J75" i="2"/>
  <c r="I75" i="2"/>
  <c r="H75" i="2"/>
  <c r="G75" i="2"/>
  <c r="F75" i="2"/>
  <c r="K74" i="2"/>
  <c r="J74" i="2"/>
  <c r="I74" i="2"/>
  <c r="H74" i="2"/>
  <c r="G74" i="2"/>
  <c r="F74" i="2"/>
  <c r="K73" i="2"/>
  <c r="J73" i="2"/>
  <c r="I73" i="2"/>
  <c r="H73" i="2"/>
  <c r="G73" i="2"/>
  <c r="F73" i="2"/>
  <c r="K72" i="2"/>
  <c r="J72" i="2"/>
  <c r="I72" i="2"/>
  <c r="H72" i="2"/>
  <c r="G72" i="2"/>
  <c r="F72" i="2"/>
  <c r="K71" i="2"/>
  <c r="J71" i="2"/>
  <c r="I71" i="2"/>
  <c r="H71" i="2"/>
  <c r="G71" i="2"/>
  <c r="F71" i="2"/>
  <c r="K70" i="2"/>
  <c r="J70" i="2"/>
  <c r="I70" i="2"/>
  <c r="H70" i="2"/>
  <c r="G70" i="2"/>
  <c r="F70" i="2"/>
  <c r="K69" i="2"/>
  <c r="J69" i="2"/>
  <c r="I69" i="2"/>
  <c r="H69" i="2"/>
  <c r="G69" i="2"/>
  <c r="F69" i="2"/>
  <c r="K68" i="2"/>
  <c r="J68" i="2"/>
  <c r="I68" i="2"/>
  <c r="H68" i="2"/>
  <c r="G68" i="2"/>
  <c r="F68" i="2"/>
  <c r="K67" i="2"/>
  <c r="J67" i="2"/>
  <c r="I67" i="2"/>
  <c r="H67" i="2"/>
  <c r="G67" i="2"/>
  <c r="F67" i="2"/>
  <c r="K66" i="2"/>
  <c r="J66" i="2"/>
  <c r="I66" i="2"/>
  <c r="H66" i="2"/>
  <c r="G66" i="2"/>
  <c r="F66" i="2"/>
  <c r="K65" i="2"/>
  <c r="J65" i="2"/>
  <c r="I65" i="2"/>
  <c r="H65" i="2"/>
  <c r="G65" i="2"/>
  <c r="F65" i="2"/>
  <c r="K64" i="2"/>
  <c r="J64" i="2"/>
  <c r="I64" i="2"/>
  <c r="H64" i="2"/>
  <c r="G64" i="2"/>
  <c r="F64" i="2"/>
  <c r="K63" i="2"/>
  <c r="J63" i="2"/>
  <c r="I63" i="2"/>
  <c r="H63" i="2"/>
  <c r="G63" i="2"/>
  <c r="F63" i="2"/>
  <c r="K62" i="2"/>
  <c r="J62" i="2"/>
  <c r="I62" i="2"/>
  <c r="H62" i="2"/>
  <c r="G62" i="2"/>
  <c r="F62" i="2"/>
  <c r="K61" i="2"/>
  <c r="J61" i="2"/>
  <c r="I61" i="2"/>
  <c r="H61" i="2"/>
  <c r="G61" i="2"/>
  <c r="F61" i="2"/>
  <c r="K60" i="2"/>
  <c r="J60" i="2"/>
  <c r="I60" i="2"/>
  <c r="H60" i="2"/>
  <c r="G60" i="2"/>
  <c r="F60" i="2"/>
  <c r="K59" i="2"/>
  <c r="J59" i="2"/>
  <c r="I59" i="2"/>
  <c r="H59" i="2"/>
  <c r="G59" i="2"/>
  <c r="F59" i="2"/>
  <c r="K58" i="2"/>
  <c r="J58" i="2"/>
  <c r="I58" i="2"/>
  <c r="H58" i="2"/>
  <c r="G58" i="2"/>
  <c r="F58" i="2"/>
  <c r="K57" i="2"/>
  <c r="J57" i="2"/>
  <c r="I57" i="2"/>
  <c r="H57" i="2"/>
  <c r="G57" i="2"/>
  <c r="F57" i="2"/>
  <c r="K56" i="2"/>
  <c r="J56" i="2"/>
  <c r="I56" i="2"/>
  <c r="H56" i="2"/>
  <c r="G56" i="2"/>
  <c r="F56" i="2"/>
  <c r="K55" i="2"/>
  <c r="J55" i="2"/>
  <c r="I55" i="2"/>
  <c r="H55" i="2"/>
  <c r="G55" i="2"/>
  <c r="F55" i="2"/>
  <c r="K54" i="2"/>
  <c r="J54" i="2"/>
  <c r="I54" i="2"/>
  <c r="H54" i="2"/>
  <c r="G54" i="2"/>
  <c r="F54" i="2"/>
  <c r="K53" i="2"/>
  <c r="J53" i="2"/>
  <c r="I53" i="2"/>
  <c r="H53" i="2"/>
  <c r="G53" i="2"/>
  <c r="F53" i="2"/>
  <c r="K52" i="2"/>
  <c r="J52" i="2"/>
  <c r="I52" i="2"/>
  <c r="H52" i="2"/>
  <c r="G52" i="2"/>
  <c r="F52" i="2"/>
  <c r="K51" i="2"/>
  <c r="J51" i="2"/>
  <c r="I51" i="2"/>
  <c r="H51" i="2"/>
  <c r="G51" i="2"/>
  <c r="F51" i="2"/>
  <c r="K50" i="2"/>
  <c r="J50" i="2"/>
  <c r="I50" i="2"/>
  <c r="H50" i="2"/>
  <c r="G50" i="2"/>
  <c r="F50" i="2"/>
  <c r="K49" i="2"/>
  <c r="J49" i="2"/>
  <c r="I49" i="2"/>
  <c r="H49" i="2"/>
  <c r="G49" i="2"/>
  <c r="F49" i="2"/>
  <c r="K48" i="2"/>
  <c r="J48" i="2"/>
  <c r="I48" i="2"/>
  <c r="H48" i="2"/>
  <c r="G48" i="2"/>
  <c r="F48" i="2"/>
  <c r="K47" i="2"/>
  <c r="J47" i="2"/>
  <c r="I47" i="2"/>
  <c r="H47" i="2"/>
  <c r="G47" i="2"/>
  <c r="F47" i="2"/>
  <c r="K46" i="2"/>
  <c r="J46" i="2"/>
  <c r="I46" i="2"/>
  <c r="H46" i="2"/>
  <c r="G46" i="2"/>
  <c r="F46" i="2"/>
  <c r="K45" i="2"/>
  <c r="J45" i="2"/>
  <c r="I45" i="2"/>
  <c r="H45" i="2"/>
  <c r="G45" i="2"/>
  <c r="F45" i="2"/>
  <c r="K44" i="2"/>
  <c r="J44" i="2"/>
  <c r="I44" i="2"/>
  <c r="H44" i="2"/>
  <c r="G44" i="2"/>
  <c r="F44" i="2"/>
  <c r="K43" i="2"/>
  <c r="J43" i="2"/>
  <c r="I43" i="2"/>
  <c r="H43" i="2"/>
  <c r="G43" i="2"/>
  <c r="F43" i="2"/>
  <c r="K42" i="2"/>
  <c r="J42" i="2"/>
  <c r="I42" i="2"/>
  <c r="H42" i="2"/>
  <c r="G42" i="2"/>
  <c r="F42" i="2"/>
  <c r="K41" i="2"/>
  <c r="J41" i="2"/>
  <c r="I41" i="2"/>
  <c r="H41" i="2"/>
  <c r="G41" i="2"/>
  <c r="F41" i="2"/>
  <c r="K40" i="2"/>
  <c r="J40" i="2"/>
  <c r="I40" i="2"/>
  <c r="H40" i="2"/>
  <c r="G40" i="2"/>
  <c r="F40" i="2"/>
  <c r="K39" i="2"/>
  <c r="J39" i="2"/>
  <c r="I39" i="2"/>
  <c r="H39" i="2"/>
  <c r="G39" i="2"/>
  <c r="F39" i="2"/>
  <c r="K38" i="2"/>
  <c r="J38" i="2"/>
  <c r="I38" i="2"/>
  <c r="H38" i="2"/>
  <c r="G38" i="2"/>
  <c r="F38" i="2"/>
  <c r="K37" i="2"/>
  <c r="J37" i="2"/>
  <c r="I37" i="2"/>
  <c r="H37" i="2"/>
  <c r="G37" i="2"/>
  <c r="F37" i="2"/>
  <c r="K36" i="2"/>
  <c r="J36" i="2"/>
  <c r="I36" i="2"/>
  <c r="H36" i="2"/>
  <c r="G36" i="2"/>
  <c r="F36" i="2"/>
  <c r="K35" i="2"/>
  <c r="J35" i="2"/>
  <c r="I35" i="2"/>
  <c r="H35" i="2"/>
  <c r="G35" i="2"/>
  <c r="F35" i="2"/>
  <c r="K34" i="2"/>
  <c r="J34" i="2"/>
  <c r="I34" i="2"/>
  <c r="H34" i="2"/>
  <c r="G34" i="2"/>
  <c r="F34" i="2"/>
  <c r="K33" i="2"/>
  <c r="J33" i="2"/>
  <c r="I33" i="2"/>
  <c r="H33" i="2"/>
  <c r="G33" i="2"/>
  <c r="F33" i="2"/>
  <c r="K32" i="2"/>
  <c r="J32" i="2"/>
  <c r="I32" i="2"/>
  <c r="H32" i="2"/>
  <c r="G32" i="2"/>
  <c r="F32" i="2"/>
  <c r="K31" i="2"/>
  <c r="J31" i="2"/>
  <c r="I31" i="2"/>
  <c r="H31" i="2"/>
  <c r="G31" i="2"/>
  <c r="F31" i="2"/>
  <c r="K30" i="2"/>
  <c r="J30" i="2"/>
  <c r="I30" i="2"/>
  <c r="H30" i="2"/>
  <c r="G30" i="2"/>
  <c r="F30" i="2"/>
  <c r="K29" i="2"/>
  <c r="J29" i="2"/>
  <c r="I29" i="2"/>
  <c r="H29" i="2"/>
  <c r="G29" i="2"/>
  <c r="F29" i="2"/>
  <c r="K28" i="2"/>
  <c r="J28" i="2"/>
  <c r="I28" i="2"/>
  <c r="H28" i="2"/>
  <c r="G28" i="2"/>
  <c r="F28" i="2"/>
  <c r="K27" i="2"/>
  <c r="J27" i="2"/>
  <c r="I27" i="2"/>
  <c r="H27" i="2"/>
  <c r="G27" i="2"/>
  <c r="F27" i="2"/>
  <c r="K26" i="2"/>
  <c r="J26" i="2"/>
  <c r="I26" i="2"/>
  <c r="H26" i="2"/>
  <c r="G26" i="2"/>
  <c r="F26" i="2"/>
  <c r="K25" i="2"/>
  <c r="J25" i="2"/>
  <c r="I25" i="2"/>
  <c r="H25" i="2"/>
  <c r="G25" i="2"/>
  <c r="F25" i="2"/>
  <c r="U24" i="2"/>
  <c r="J117" i="8" s="1"/>
  <c r="T24" i="2"/>
  <c r="I117" i="8" s="1"/>
  <c r="Q24" i="2"/>
  <c r="F117" i="8" s="1"/>
  <c r="J24" i="2"/>
  <c r="I24" i="2"/>
  <c r="K24" i="2" s="1"/>
  <c r="F24" i="2"/>
  <c r="H24" i="2" s="1"/>
  <c r="U23" i="2"/>
  <c r="J111" i="8" s="1"/>
  <c r="Q23" i="2"/>
  <c r="K23" i="2"/>
  <c r="J23" i="2"/>
  <c r="I23" i="2"/>
  <c r="H23" i="2"/>
  <c r="G23" i="2"/>
  <c r="F23" i="2"/>
  <c r="U22" i="2"/>
  <c r="J105" i="8" s="1"/>
  <c r="Q22" i="2"/>
  <c r="F105" i="8" s="1"/>
  <c r="I22" i="2"/>
  <c r="K22" i="2" s="1"/>
  <c r="H22" i="2"/>
  <c r="G22" i="2"/>
  <c r="F22" i="2"/>
  <c r="U21" i="2"/>
  <c r="Q21" i="2"/>
  <c r="F99" i="8" s="1"/>
  <c r="K21" i="2"/>
  <c r="J21" i="2"/>
  <c r="I21" i="2"/>
  <c r="H21" i="2"/>
  <c r="F21" i="2"/>
  <c r="G21" i="2" s="1"/>
  <c r="U20" i="2"/>
  <c r="J93" i="8" s="1"/>
  <c r="Q20" i="2"/>
  <c r="F93" i="8" s="1"/>
  <c r="K20" i="2"/>
  <c r="J20" i="2"/>
  <c r="I20" i="2"/>
  <c r="H20" i="2"/>
  <c r="G20" i="2"/>
  <c r="F20" i="2"/>
  <c r="U19" i="2"/>
  <c r="J87" i="8" s="1"/>
  <c r="Q19" i="2"/>
  <c r="F87" i="8" s="1"/>
  <c r="J19" i="2"/>
  <c r="I19" i="2"/>
  <c r="K19" i="2" s="1"/>
  <c r="F19" i="2"/>
  <c r="H19" i="2" s="1"/>
  <c r="U18" i="2"/>
  <c r="J81" i="8" s="1"/>
  <c r="Q18" i="2"/>
  <c r="F81" i="8" s="1"/>
  <c r="K18" i="2"/>
  <c r="J18" i="2"/>
  <c r="I18" i="2"/>
  <c r="H18" i="2"/>
  <c r="F18" i="2"/>
  <c r="G18" i="2" s="1"/>
  <c r="U17" i="2"/>
  <c r="J75" i="8" s="1"/>
  <c r="T17" i="2"/>
  <c r="I75" i="8" s="1"/>
  <c r="Q17" i="2"/>
  <c r="F75" i="8" s="1"/>
  <c r="K17" i="2"/>
  <c r="J17" i="2"/>
  <c r="I17" i="2"/>
  <c r="H17" i="2"/>
  <c r="G17" i="2"/>
  <c r="F17" i="2"/>
  <c r="U16" i="2"/>
  <c r="J69" i="8" s="1"/>
  <c r="T16" i="2"/>
  <c r="I69" i="8" s="1"/>
  <c r="Q16" i="2"/>
  <c r="F69" i="8" s="1"/>
  <c r="I16" i="2"/>
  <c r="K16" i="2" s="1"/>
  <c r="F16" i="2"/>
  <c r="H16" i="2" s="1"/>
  <c r="U15" i="2"/>
  <c r="J63" i="8" s="1"/>
  <c r="Q15" i="2"/>
  <c r="F63" i="8" s="1"/>
  <c r="I15" i="2"/>
  <c r="J15" i="2" s="1"/>
  <c r="F15" i="2"/>
  <c r="G15" i="2" s="1"/>
  <c r="U14" i="2"/>
  <c r="J57" i="8" s="1"/>
  <c r="Q14" i="2"/>
  <c r="F57" i="8" s="1"/>
  <c r="K14" i="2"/>
  <c r="J14" i="2"/>
  <c r="I14" i="2"/>
  <c r="H14" i="2"/>
  <c r="F14" i="2"/>
  <c r="G14" i="2" s="1"/>
  <c r="U13" i="2"/>
  <c r="J51" i="8" s="1"/>
  <c r="Q13" i="2"/>
  <c r="F51" i="8" s="1"/>
  <c r="K13" i="2"/>
  <c r="J13" i="2"/>
  <c r="I13" i="2"/>
  <c r="F13" i="2"/>
  <c r="H13" i="2" s="1"/>
  <c r="U12" i="2"/>
  <c r="J45" i="8" s="1"/>
  <c r="Q12" i="2"/>
  <c r="F45" i="8" s="1"/>
  <c r="P12" i="2"/>
  <c r="E45" i="8" s="1"/>
  <c r="K12" i="2"/>
  <c r="J12" i="2"/>
  <c r="I12" i="2"/>
  <c r="F12" i="2"/>
  <c r="H12" i="2" s="1"/>
  <c r="U11" i="2"/>
  <c r="J39" i="8" s="1"/>
  <c r="T11" i="2"/>
  <c r="I39" i="8" s="1"/>
  <c r="Q11" i="2"/>
  <c r="F39" i="8" s="1"/>
  <c r="K11" i="2"/>
  <c r="J11" i="2"/>
  <c r="I11" i="2"/>
  <c r="H11" i="2"/>
  <c r="G11" i="2"/>
  <c r="F11" i="2"/>
  <c r="U10" i="2"/>
  <c r="J33" i="8" s="1"/>
  <c r="T10" i="2"/>
  <c r="I33" i="8" s="1"/>
  <c r="Q10" i="2"/>
  <c r="F33" i="8" s="1"/>
  <c r="J10" i="2"/>
  <c r="I10" i="2"/>
  <c r="K10" i="2" s="1"/>
  <c r="F10" i="2"/>
  <c r="H10" i="2" s="1"/>
  <c r="U9" i="2"/>
  <c r="J28" i="8" s="1"/>
  <c r="Q9" i="2"/>
  <c r="F28" i="8" s="1"/>
  <c r="I9" i="2"/>
  <c r="T14" i="2" s="1"/>
  <c r="F9" i="2"/>
  <c r="G9" i="2" s="1"/>
  <c r="U8" i="2"/>
  <c r="J22" i="8" s="1"/>
  <c r="Q8" i="2"/>
  <c r="F22" i="8" s="1"/>
  <c r="K8" i="2"/>
  <c r="J8" i="2"/>
  <c r="I8" i="2"/>
  <c r="T18" i="2" s="1"/>
  <c r="I81" i="8" s="1"/>
  <c r="H8" i="2"/>
  <c r="F8" i="2"/>
  <c r="G8" i="2" s="1"/>
  <c r="U7" i="2"/>
  <c r="J16" i="8" s="1"/>
  <c r="Q7" i="2"/>
  <c r="F16" i="8" s="1"/>
  <c r="K7" i="2"/>
  <c r="J7" i="2"/>
  <c r="I7" i="2"/>
  <c r="H7" i="2"/>
  <c r="G7" i="2"/>
  <c r="F7" i="2"/>
  <c r="U6" i="2"/>
  <c r="J10" i="8" s="1"/>
  <c r="Q6" i="2"/>
  <c r="F10" i="8" s="1"/>
  <c r="P6" i="2"/>
  <c r="E10" i="8" s="1"/>
  <c r="K6" i="2"/>
  <c r="J6" i="2"/>
  <c r="I6" i="2"/>
  <c r="T22" i="2" s="1"/>
  <c r="F6" i="2"/>
  <c r="H6" i="2" s="1"/>
  <c r="U5" i="2"/>
  <c r="J4" i="8" s="1"/>
  <c r="T5" i="2"/>
  <c r="I4" i="8" s="1"/>
  <c r="Q5" i="2"/>
  <c r="F4" i="8" s="1"/>
  <c r="K5" i="2"/>
  <c r="J5" i="2"/>
  <c r="I5" i="2"/>
  <c r="T20" i="2" s="1"/>
  <c r="I93" i="8" s="1"/>
  <c r="F5" i="2"/>
  <c r="P21" i="2" s="1"/>
  <c r="G17" i="8" l="1"/>
  <c r="J26" i="8"/>
  <c r="W8" i="6"/>
  <c r="L26" i="8" s="1"/>
  <c r="I105" i="8"/>
  <c r="K105" i="8" s="1"/>
  <c r="W22" i="2"/>
  <c r="L105" i="8" s="1"/>
  <c r="V22" i="2"/>
  <c r="E52" i="8"/>
  <c r="G52" i="8" s="1"/>
  <c r="R13" i="3"/>
  <c r="I106" i="8"/>
  <c r="K106" i="8" s="1"/>
  <c r="W22" i="3"/>
  <c r="L106" i="8" s="1"/>
  <c r="V22" i="3"/>
  <c r="E82" i="8"/>
  <c r="S18" i="3"/>
  <c r="H82" i="8" s="1"/>
  <c r="R18" i="3"/>
  <c r="E99" i="8"/>
  <c r="G99" i="8" s="1"/>
  <c r="R21" i="2"/>
  <c r="E35" i="8"/>
  <c r="G35" i="8" s="1"/>
  <c r="R10" i="4"/>
  <c r="S10" i="4"/>
  <c r="H35" i="8" s="1"/>
  <c r="E70" i="8"/>
  <c r="G70" i="8" s="1"/>
  <c r="S16" i="3"/>
  <c r="H70" i="8" s="1"/>
  <c r="R16" i="3"/>
  <c r="I46" i="8"/>
  <c r="K46" i="8" s="1"/>
  <c r="V12" i="3"/>
  <c r="W12" i="3"/>
  <c r="L46" i="8" s="1"/>
  <c r="I23" i="8"/>
  <c r="K23" i="8" s="1"/>
  <c r="W8" i="3"/>
  <c r="L23" i="8" s="1"/>
  <c r="V8" i="3"/>
  <c r="I57" i="8"/>
  <c r="K57" i="8" s="1"/>
  <c r="W14" i="2"/>
  <c r="L57" i="8" s="1"/>
  <c r="V14" i="2"/>
  <c r="E112" i="8"/>
  <c r="R23" i="3"/>
  <c r="I52" i="8"/>
  <c r="V13" i="3"/>
  <c r="V24" i="2"/>
  <c r="K4" i="8"/>
  <c r="S6" i="2"/>
  <c r="H10" i="8" s="1"/>
  <c r="G10" i="2"/>
  <c r="W10" i="2"/>
  <c r="L33" i="8" s="1"/>
  <c r="T12" i="2"/>
  <c r="W12" i="2" s="1"/>
  <c r="L45" i="8" s="1"/>
  <c r="G5" i="2"/>
  <c r="W5" i="2"/>
  <c r="L4" i="8" s="1"/>
  <c r="K9" i="2"/>
  <c r="W11" i="2"/>
  <c r="L39" i="8" s="1"/>
  <c r="K15" i="2"/>
  <c r="W17" i="2"/>
  <c r="L75" i="8" s="1"/>
  <c r="K81" i="8"/>
  <c r="T19" i="2"/>
  <c r="V19" i="2" s="1"/>
  <c r="P22" i="2"/>
  <c r="R22" i="2" s="1"/>
  <c r="W5" i="3"/>
  <c r="L5" i="8" s="1"/>
  <c r="S7" i="3"/>
  <c r="H17" i="8" s="1"/>
  <c r="P9" i="3"/>
  <c r="J52" i="8"/>
  <c r="K52" i="8" s="1"/>
  <c r="W13" i="3"/>
  <c r="L52" i="8" s="1"/>
  <c r="T14" i="3"/>
  <c r="T23" i="3"/>
  <c r="T5" i="4"/>
  <c r="T6" i="4"/>
  <c r="J18" i="8"/>
  <c r="T9" i="4"/>
  <c r="P14" i="5"/>
  <c r="P18" i="5"/>
  <c r="K21" i="5"/>
  <c r="J21" i="5"/>
  <c r="E37" i="8"/>
  <c r="G37" i="8" s="1"/>
  <c r="R10" i="6"/>
  <c r="J30" i="8"/>
  <c r="T10" i="4"/>
  <c r="T22" i="5"/>
  <c r="P13" i="2"/>
  <c r="E51" i="8" s="1"/>
  <c r="G51" i="8" s="1"/>
  <c r="P8" i="2"/>
  <c r="J9" i="2"/>
  <c r="V11" i="2"/>
  <c r="H5" i="2"/>
  <c r="T13" i="2"/>
  <c r="P15" i="2"/>
  <c r="J16" i="2"/>
  <c r="V18" i="2"/>
  <c r="T7" i="3"/>
  <c r="W7" i="3" s="1"/>
  <c r="L17" i="8" s="1"/>
  <c r="F29" i="8"/>
  <c r="P10" i="3"/>
  <c r="T15" i="3"/>
  <c r="P17" i="3"/>
  <c r="J112" i="8"/>
  <c r="T24" i="3"/>
  <c r="G6" i="2"/>
  <c r="G12" i="2"/>
  <c r="W18" i="2"/>
  <c r="L81" i="8" s="1"/>
  <c r="S21" i="2"/>
  <c r="H99" i="8" s="1"/>
  <c r="P23" i="2"/>
  <c r="E111" i="8" s="1"/>
  <c r="J17" i="8"/>
  <c r="H19" i="4"/>
  <c r="T19" i="5"/>
  <c r="T24" i="5"/>
  <c r="T18" i="5"/>
  <c r="T23" i="5"/>
  <c r="T17" i="5"/>
  <c r="V17" i="5" s="1"/>
  <c r="T21" i="5"/>
  <c r="W21" i="5" s="1"/>
  <c r="L102" i="8" s="1"/>
  <c r="T15" i="5"/>
  <c r="W15" i="5" s="1"/>
  <c r="L66" i="8" s="1"/>
  <c r="J9" i="5"/>
  <c r="P11" i="5"/>
  <c r="S11" i="5" s="1"/>
  <c r="H42" i="8" s="1"/>
  <c r="P12" i="5"/>
  <c r="F54" i="8"/>
  <c r="J17" i="5"/>
  <c r="P24" i="5"/>
  <c r="S10" i="6"/>
  <c r="H37" i="8" s="1"/>
  <c r="K19" i="6"/>
  <c r="J19" i="6"/>
  <c r="R12" i="2"/>
  <c r="H15" i="2"/>
  <c r="V16" i="2"/>
  <c r="T6" i="2"/>
  <c r="W6" i="2" s="1"/>
  <c r="L10" i="8" s="1"/>
  <c r="P10" i="2"/>
  <c r="P24" i="2"/>
  <c r="P11" i="3"/>
  <c r="F79" i="8"/>
  <c r="E56" i="8"/>
  <c r="G56" i="8" s="1"/>
  <c r="R13" i="7"/>
  <c r="J21" i="8"/>
  <c r="P20" i="2"/>
  <c r="E93" i="8" s="1"/>
  <c r="G93" i="8" s="1"/>
  <c r="G24" i="2"/>
  <c r="T8" i="2"/>
  <c r="T21" i="2"/>
  <c r="T9" i="3"/>
  <c r="T16" i="3"/>
  <c r="J67" i="8"/>
  <c r="G13" i="2"/>
  <c r="G19" i="2"/>
  <c r="V20" i="2"/>
  <c r="J99" i="8"/>
  <c r="G82" i="8"/>
  <c r="G6" i="4"/>
  <c r="H13" i="4"/>
  <c r="J19" i="4"/>
  <c r="P20" i="4"/>
  <c r="P23" i="4"/>
  <c r="S23" i="4" s="1"/>
  <c r="H113" i="8" s="1"/>
  <c r="P24" i="4"/>
  <c r="P6" i="5"/>
  <c r="P8" i="5"/>
  <c r="F31" i="8"/>
  <c r="G31" i="8" s="1"/>
  <c r="S9" i="5"/>
  <c r="H31" i="8" s="1"/>
  <c r="T13" i="5"/>
  <c r="W13" i="5" s="1"/>
  <c r="L54" i="8" s="1"/>
  <c r="T14" i="5"/>
  <c r="W14" i="5" s="1"/>
  <c r="L60" i="8" s="1"/>
  <c r="H11" i="6"/>
  <c r="G11" i="6"/>
  <c r="P7" i="2"/>
  <c r="E16" i="8" s="1"/>
  <c r="G16" i="8" s="1"/>
  <c r="H9" i="2"/>
  <c r="V10" i="2"/>
  <c r="K39" i="8"/>
  <c r="S12" i="2"/>
  <c r="H45" i="8" s="1"/>
  <c r="G16" i="2"/>
  <c r="P9" i="2"/>
  <c r="E28" i="8" s="1"/>
  <c r="P16" i="2"/>
  <c r="F111" i="8"/>
  <c r="T9" i="2"/>
  <c r="T15" i="2"/>
  <c r="T23" i="2"/>
  <c r="P5" i="3"/>
  <c r="T10" i="3"/>
  <c r="P12" i="3"/>
  <c r="T17" i="3"/>
  <c r="P19" i="3"/>
  <c r="S19" i="3" s="1"/>
  <c r="H88" i="8" s="1"/>
  <c r="P20" i="3"/>
  <c r="H6" i="4"/>
  <c r="H7" i="4"/>
  <c r="H11" i="4"/>
  <c r="J17" i="4"/>
  <c r="P19" i="4"/>
  <c r="P22" i="4"/>
  <c r="F113" i="8"/>
  <c r="P5" i="5"/>
  <c r="R9" i="5"/>
  <c r="R10" i="5"/>
  <c r="T11" i="5"/>
  <c r="W11" i="5" s="1"/>
  <c r="L42" i="8" s="1"/>
  <c r="J54" i="8"/>
  <c r="J78" i="8"/>
  <c r="R6" i="2"/>
  <c r="W16" i="2"/>
  <c r="L69" i="8" s="1"/>
  <c r="T7" i="2"/>
  <c r="K93" i="8"/>
  <c r="P5" i="2"/>
  <c r="P11" i="2"/>
  <c r="P17" i="2"/>
  <c r="W20" i="2"/>
  <c r="L93" i="8" s="1"/>
  <c r="F88" i="8"/>
  <c r="P14" i="4"/>
  <c r="P17" i="4"/>
  <c r="E77" i="8" s="1"/>
  <c r="P18" i="4"/>
  <c r="S18" i="4" s="1"/>
  <c r="H83" i="8" s="1"/>
  <c r="P21" i="4"/>
  <c r="F19" i="8"/>
  <c r="G19" i="8" s="1"/>
  <c r="S7" i="5"/>
  <c r="H19" i="8" s="1"/>
  <c r="T9" i="5"/>
  <c r="T10" i="5"/>
  <c r="J42" i="8"/>
  <c r="T12" i="5"/>
  <c r="P19" i="6"/>
  <c r="S19" i="6" s="1"/>
  <c r="H91" i="8" s="1"/>
  <c r="P13" i="6"/>
  <c r="S13" i="6" s="1"/>
  <c r="H55" i="8" s="1"/>
  <c r="P7" i="6"/>
  <c r="S7" i="6" s="1"/>
  <c r="H20" i="8" s="1"/>
  <c r="P24" i="6"/>
  <c r="P18" i="6"/>
  <c r="P12" i="6"/>
  <c r="P6" i="6"/>
  <c r="P23" i="6"/>
  <c r="E115" i="8" s="1"/>
  <c r="P17" i="6"/>
  <c r="E79" i="8" s="1"/>
  <c r="P11" i="6"/>
  <c r="P5" i="6"/>
  <c r="P22" i="6"/>
  <c r="P16" i="6"/>
  <c r="P21" i="6"/>
  <c r="S21" i="6" s="1"/>
  <c r="H103" i="8" s="1"/>
  <c r="P15" i="6"/>
  <c r="S15" i="6" s="1"/>
  <c r="H67" i="8" s="1"/>
  <c r="P9" i="6"/>
  <c r="S9" i="6" s="1"/>
  <c r="H32" i="8" s="1"/>
  <c r="H5" i="6"/>
  <c r="G5" i="6"/>
  <c r="P20" i="6"/>
  <c r="S20" i="6" s="1"/>
  <c r="H97" i="8" s="1"/>
  <c r="P14" i="6"/>
  <c r="S14" i="6" s="1"/>
  <c r="H61" i="8" s="1"/>
  <c r="J103" i="8"/>
  <c r="F115" i="8"/>
  <c r="T24" i="7"/>
  <c r="T23" i="7"/>
  <c r="W23" i="7" s="1"/>
  <c r="L116" i="8" s="1"/>
  <c r="T15" i="7"/>
  <c r="W15" i="7" s="1"/>
  <c r="L68" i="8" s="1"/>
  <c r="T9" i="7"/>
  <c r="T14" i="7"/>
  <c r="T8" i="7"/>
  <c r="T13" i="7"/>
  <c r="T7" i="7"/>
  <c r="I21" i="8" s="1"/>
  <c r="T20" i="7"/>
  <c r="T19" i="7"/>
  <c r="T12" i="7"/>
  <c r="T6" i="7"/>
  <c r="T21" i="7"/>
  <c r="T18" i="7"/>
  <c r="T17" i="7"/>
  <c r="W17" i="7" s="1"/>
  <c r="L80" i="8" s="1"/>
  <c r="T11" i="7"/>
  <c r="T5" i="7"/>
  <c r="W5" i="7" s="1"/>
  <c r="L9" i="8" s="1"/>
  <c r="T22" i="7"/>
  <c r="T16" i="7"/>
  <c r="T10" i="7"/>
  <c r="P18" i="2"/>
  <c r="T11" i="3"/>
  <c r="W11" i="3" s="1"/>
  <c r="L40" i="8" s="1"/>
  <c r="T18" i="3"/>
  <c r="P21" i="3"/>
  <c r="S21" i="3" s="1"/>
  <c r="H100" i="8" s="1"/>
  <c r="P22" i="3"/>
  <c r="P8" i="4"/>
  <c r="P13" i="4"/>
  <c r="P15" i="4"/>
  <c r="S15" i="4" s="1"/>
  <c r="H65" i="8" s="1"/>
  <c r="P16" i="4"/>
  <c r="F77" i="8"/>
  <c r="F101" i="8"/>
  <c r="T23" i="4"/>
  <c r="T24" i="4"/>
  <c r="R7" i="5"/>
  <c r="H15" i="5"/>
  <c r="G15" i="5"/>
  <c r="P16" i="5"/>
  <c r="S16" i="5" s="1"/>
  <c r="H72" i="8" s="1"/>
  <c r="I14" i="8"/>
  <c r="K14" i="8" s="1"/>
  <c r="V6" i="6"/>
  <c r="J32" i="8"/>
  <c r="F43" i="8"/>
  <c r="G10" i="8"/>
  <c r="K33" i="8"/>
  <c r="G45" i="8"/>
  <c r="K69" i="8"/>
  <c r="P19" i="2"/>
  <c r="K117" i="8"/>
  <c r="G11" i="8"/>
  <c r="P14" i="3"/>
  <c r="T19" i="3"/>
  <c r="F100" i="8"/>
  <c r="J5" i="4"/>
  <c r="P7" i="4"/>
  <c r="P11" i="4"/>
  <c r="S11" i="4" s="1"/>
  <c r="H41" i="8" s="1"/>
  <c r="P12" i="4"/>
  <c r="S12" i="4" s="1"/>
  <c r="H47" i="8" s="1"/>
  <c r="F65" i="8"/>
  <c r="T19" i="4"/>
  <c r="T20" i="4"/>
  <c r="T5" i="5"/>
  <c r="V5" i="5" s="1"/>
  <c r="T6" i="5"/>
  <c r="T7" i="5"/>
  <c r="T8" i="5"/>
  <c r="W8" i="5" s="1"/>
  <c r="L25" i="8" s="1"/>
  <c r="H14" i="5"/>
  <c r="K15" i="5"/>
  <c r="J15" i="5"/>
  <c r="J88" i="8"/>
  <c r="T20" i="3"/>
  <c r="P24" i="3"/>
  <c r="P5" i="4"/>
  <c r="S5" i="4" s="1"/>
  <c r="H6" i="8" s="1"/>
  <c r="P6" i="4"/>
  <c r="P9" i="4"/>
  <c r="F41" i="8"/>
  <c r="T17" i="4"/>
  <c r="T18" i="4"/>
  <c r="J89" i="8"/>
  <c r="T21" i="4"/>
  <c r="W21" i="4" s="1"/>
  <c r="L101" i="8" s="1"/>
  <c r="T22" i="4"/>
  <c r="W22" i="4" s="1"/>
  <c r="L107" i="8" s="1"/>
  <c r="J7" i="8"/>
  <c r="J19" i="8"/>
  <c r="F66" i="8"/>
  <c r="T16" i="5"/>
  <c r="T20" i="5"/>
  <c r="W20" i="5" s="1"/>
  <c r="L96" i="8" s="1"/>
  <c r="J114" i="8"/>
  <c r="F8" i="8"/>
  <c r="H7" i="6"/>
  <c r="G7" i="6"/>
  <c r="P8" i="6"/>
  <c r="S8" i="6" s="1"/>
  <c r="H26" i="8" s="1"/>
  <c r="P8" i="3"/>
  <c r="R8" i="3" s="1"/>
  <c r="S13" i="3"/>
  <c r="H52" i="8" s="1"/>
  <c r="P15" i="3"/>
  <c r="E64" i="8" s="1"/>
  <c r="T21" i="3"/>
  <c r="F112" i="8"/>
  <c r="G112" i="8" s="1"/>
  <c r="S23" i="3"/>
  <c r="H112" i="8" s="1"/>
  <c r="F6" i="8"/>
  <c r="F30" i="8"/>
  <c r="T13" i="4"/>
  <c r="W13" i="4" s="1"/>
  <c r="L53" i="8" s="1"/>
  <c r="T14" i="4"/>
  <c r="T15" i="4"/>
  <c r="J101" i="8"/>
  <c r="G10" i="5"/>
  <c r="T23" i="6"/>
  <c r="W23" i="6" s="1"/>
  <c r="L115" i="8" s="1"/>
  <c r="T17" i="6"/>
  <c r="W17" i="6" s="1"/>
  <c r="L79" i="8" s="1"/>
  <c r="T11" i="6"/>
  <c r="W11" i="6" s="1"/>
  <c r="L43" i="8" s="1"/>
  <c r="T5" i="6"/>
  <c r="W5" i="6" s="1"/>
  <c r="L8" i="8" s="1"/>
  <c r="K7" i="6"/>
  <c r="T22" i="6"/>
  <c r="T16" i="6"/>
  <c r="T10" i="6"/>
  <c r="J7" i="6"/>
  <c r="T21" i="6"/>
  <c r="I103" i="8" s="1"/>
  <c r="T15" i="6"/>
  <c r="I67" i="8" s="1"/>
  <c r="T9" i="6"/>
  <c r="I32" i="8" s="1"/>
  <c r="T20" i="6"/>
  <c r="T14" i="6"/>
  <c r="T19" i="6"/>
  <c r="T13" i="6"/>
  <c r="W13" i="6" s="1"/>
  <c r="L55" i="8" s="1"/>
  <c r="T7" i="6"/>
  <c r="W7" i="6" s="1"/>
  <c r="L20" i="8" s="1"/>
  <c r="T24" i="6"/>
  <c r="T18" i="6"/>
  <c r="W18" i="6" s="1"/>
  <c r="L85" i="8" s="1"/>
  <c r="T12" i="6"/>
  <c r="W12" i="6" s="1"/>
  <c r="L49" i="8" s="1"/>
  <c r="R6" i="3"/>
  <c r="K75" i="8"/>
  <c r="J22" i="2"/>
  <c r="W24" i="2"/>
  <c r="L117" i="8" s="1"/>
  <c r="K5" i="8"/>
  <c r="S6" i="3"/>
  <c r="H11" i="8" s="1"/>
  <c r="V5" i="2"/>
  <c r="P14" i="2"/>
  <c r="S14" i="2" s="1"/>
  <c r="H57" i="8" s="1"/>
  <c r="V17" i="2"/>
  <c r="V5" i="3"/>
  <c r="T6" i="3"/>
  <c r="R7" i="3"/>
  <c r="F64" i="8"/>
  <c r="J100" i="8"/>
  <c r="T7" i="4"/>
  <c r="W7" i="4" s="1"/>
  <c r="L18" i="8" s="1"/>
  <c r="T8" i="4"/>
  <c r="T11" i="4"/>
  <c r="T12" i="4"/>
  <c r="J53" i="8"/>
  <c r="J65" i="8"/>
  <c r="T16" i="4"/>
  <c r="W16" i="4" s="1"/>
  <c r="L71" i="8" s="1"/>
  <c r="P21" i="5"/>
  <c r="S21" i="5" s="1"/>
  <c r="H102" i="8" s="1"/>
  <c r="P15" i="5"/>
  <c r="P20" i="5"/>
  <c r="P19" i="5"/>
  <c r="E90" i="8" s="1"/>
  <c r="P13" i="5"/>
  <c r="S13" i="5" s="1"/>
  <c r="H54" i="8" s="1"/>
  <c r="P23" i="5"/>
  <c r="P17" i="5"/>
  <c r="F90" i="8"/>
  <c r="H21" i="5"/>
  <c r="G21" i="5"/>
  <c r="P22" i="5"/>
  <c r="I26" i="8"/>
  <c r="V8" i="6"/>
  <c r="P18" i="7"/>
  <c r="E86" i="8" s="1"/>
  <c r="G86" i="8" s="1"/>
  <c r="F110" i="8"/>
  <c r="P6" i="7"/>
  <c r="P12" i="7"/>
  <c r="P19" i="7"/>
  <c r="G36" i="8"/>
  <c r="G17" i="6"/>
  <c r="G23" i="6"/>
  <c r="P20" i="7"/>
  <c r="S20" i="7" s="1"/>
  <c r="H98" i="8" s="1"/>
  <c r="P7" i="7"/>
  <c r="S7" i="7" s="1"/>
  <c r="H21" i="8" s="1"/>
  <c r="S10" i="5"/>
  <c r="H36" i="8" s="1"/>
  <c r="W6" i="6"/>
  <c r="L14" i="8" s="1"/>
  <c r="P21" i="7"/>
  <c r="P24" i="7"/>
  <c r="E122" i="8" s="1"/>
  <c r="P23" i="7"/>
  <c r="P22" i="7"/>
  <c r="P8" i="7"/>
  <c r="P14" i="7"/>
  <c r="J86" i="8"/>
  <c r="G19" i="6"/>
  <c r="S13" i="7"/>
  <c r="H56" i="8" s="1"/>
  <c r="J98" i="8"/>
  <c r="P9" i="7"/>
  <c r="P15" i="7"/>
  <c r="E68" i="8" s="1"/>
  <c r="G68" i="8" s="1"/>
  <c r="P10" i="7"/>
  <c r="P16" i="7"/>
  <c r="G21" i="7"/>
  <c r="G22" i="7"/>
  <c r="G17" i="5"/>
  <c r="G23" i="5"/>
  <c r="G9" i="6"/>
  <c r="G15" i="6"/>
  <c r="G21" i="6"/>
  <c r="P5" i="7"/>
  <c r="S5" i="7" s="1"/>
  <c r="H9" i="8" s="1"/>
  <c r="P11" i="7"/>
  <c r="S11" i="7" s="1"/>
  <c r="H44" i="8" s="1"/>
  <c r="P17" i="7"/>
  <c r="F98" i="8"/>
  <c r="F122" i="8"/>
  <c r="G122" i="8" s="1"/>
  <c r="R24" i="7"/>
  <c r="J116" i="8"/>
  <c r="J122" i="8"/>
  <c r="J22" i="7"/>
  <c r="I112" i="8" l="1"/>
  <c r="V23" i="3"/>
  <c r="K112" i="8"/>
  <c r="I88" i="8"/>
  <c r="K88" i="8" s="1"/>
  <c r="V19" i="3"/>
  <c r="I100" i="8"/>
  <c r="K100" i="8" s="1"/>
  <c r="V21" i="3"/>
  <c r="W21" i="3"/>
  <c r="L100" i="8" s="1"/>
  <c r="E29" i="8"/>
  <c r="G29" i="8" s="1"/>
  <c r="S9" i="3"/>
  <c r="H29" i="8" s="1"/>
  <c r="R9" i="3"/>
  <c r="E58" i="8"/>
  <c r="G58" i="8" s="1"/>
  <c r="S14" i="3"/>
  <c r="H58" i="8" s="1"/>
  <c r="K26" i="8"/>
  <c r="I114" i="8"/>
  <c r="K114" i="8" s="1"/>
  <c r="W23" i="5"/>
  <c r="L114" i="8" s="1"/>
  <c r="V23" i="5"/>
  <c r="I122" i="8"/>
  <c r="K122" i="8" s="1"/>
  <c r="W24" i="7"/>
  <c r="L122" i="8" s="1"/>
  <c r="V24" i="7"/>
  <c r="I56" i="8"/>
  <c r="K56" i="8" s="1"/>
  <c r="V13" i="7"/>
  <c r="W13" i="7"/>
  <c r="L56" i="8" s="1"/>
  <c r="I98" i="8"/>
  <c r="K98" i="8" s="1"/>
  <c r="W20" i="7"/>
  <c r="L98" i="8" s="1"/>
  <c r="V20" i="7"/>
  <c r="I86" i="8"/>
  <c r="K86" i="8" s="1"/>
  <c r="W18" i="7"/>
  <c r="L86" i="8" s="1"/>
  <c r="V18" i="7"/>
  <c r="I74" i="8"/>
  <c r="K74" i="8" s="1"/>
  <c r="V16" i="7"/>
  <c r="W16" i="7"/>
  <c r="L74" i="8" s="1"/>
  <c r="I38" i="8"/>
  <c r="K38" i="8" s="1"/>
  <c r="V10" i="7"/>
  <c r="W10" i="7"/>
  <c r="L38" i="8" s="1"/>
  <c r="E50" i="8"/>
  <c r="G50" i="8" s="1"/>
  <c r="R12" i="7"/>
  <c r="S12" i="7"/>
  <c r="H50" i="8" s="1"/>
  <c r="E92" i="8"/>
  <c r="G92" i="8" s="1"/>
  <c r="R19" i="7"/>
  <c r="E110" i="8"/>
  <c r="G110" i="8" s="1"/>
  <c r="S22" i="7"/>
  <c r="H110" i="8" s="1"/>
  <c r="E80" i="8"/>
  <c r="G80" i="8" s="1"/>
  <c r="S17" i="7"/>
  <c r="H80" i="8" s="1"/>
  <c r="K32" i="8"/>
  <c r="E43" i="8"/>
  <c r="G43" i="8" s="1"/>
  <c r="S11" i="6"/>
  <c r="H43" i="8" s="1"/>
  <c r="E8" i="8"/>
  <c r="G8" i="8" s="1"/>
  <c r="S5" i="6"/>
  <c r="H8" i="8" s="1"/>
  <c r="R5" i="6"/>
  <c r="I78" i="8"/>
  <c r="K78" i="8" s="1"/>
  <c r="W17" i="5"/>
  <c r="L78" i="8" s="1"/>
  <c r="I7" i="8"/>
  <c r="K7" i="8" s="1"/>
  <c r="W5" i="5"/>
  <c r="L7" i="8" s="1"/>
  <c r="I19" i="8"/>
  <c r="K19" i="8" s="1"/>
  <c r="V7" i="5"/>
  <c r="W7" i="5"/>
  <c r="L19" i="8" s="1"/>
  <c r="E66" i="8"/>
  <c r="G66" i="8" s="1"/>
  <c r="R15" i="5"/>
  <c r="G77" i="8"/>
  <c r="I30" i="8"/>
  <c r="K30" i="8" s="1"/>
  <c r="V9" i="4"/>
  <c r="W9" i="4"/>
  <c r="L30" i="8" s="1"/>
  <c r="E101" i="8"/>
  <c r="G101" i="8" s="1"/>
  <c r="S21" i="4"/>
  <c r="H101" i="8" s="1"/>
  <c r="R21" i="4"/>
  <c r="E41" i="8"/>
  <c r="G41" i="8" s="1"/>
  <c r="R11" i="4"/>
  <c r="I89" i="8"/>
  <c r="K89" i="8" s="1"/>
  <c r="V19" i="4"/>
  <c r="G111" i="8"/>
  <c r="E87" i="8"/>
  <c r="G87" i="8" s="1"/>
  <c r="R19" i="2"/>
  <c r="S19" i="2"/>
  <c r="H87" i="8" s="1"/>
  <c r="E78" i="8"/>
  <c r="G78" i="8" s="1"/>
  <c r="R17" i="5"/>
  <c r="I90" i="8"/>
  <c r="K90" i="8" s="1"/>
  <c r="V19" i="5"/>
  <c r="E15" i="8"/>
  <c r="G15" i="8" s="1"/>
  <c r="R6" i="7"/>
  <c r="S19" i="5"/>
  <c r="H90" i="8" s="1"/>
  <c r="S15" i="7"/>
  <c r="H68" i="8" s="1"/>
  <c r="G90" i="8"/>
  <c r="I11" i="8"/>
  <c r="K11" i="8" s="1"/>
  <c r="V6" i="3"/>
  <c r="E30" i="8"/>
  <c r="G30" i="8" s="1"/>
  <c r="R9" i="4"/>
  <c r="E71" i="8"/>
  <c r="G71" i="8" s="1"/>
  <c r="S16" i="4"/>
  <c r="H71" i="8" s="1"/>
  <c r="R16" i="4"/>
  <c r="I9" i="8"/>
  <c r="K9" i="8" s="1"/>
  <c r="V5" i="7"/>
  <c r="I62" i="8"/>
  <c r="K62" i="8" s="1"/>
  <c r="V14" i="7"/>
  <c r="W14" i="7"/>
  <c r="L62" i="8" s="1"/>
  <c r="E97" i="8"/>
  <c r="G97" i="8" s="1"/>
  <c r="R20" i="6"/>
  <c r="E14" i="8"/>
  <c r="G14" i="8" s="1"/>
  <c r="R6" i="6"/>
  <c r="S6" i="6"/>
  <c r="H14" i="8" s="1"/>
  <c r="E7" i="8"/>
  <c r="G7" i="8" s="1"/>
  <c r="S5" i="5"/>
  <c r="H7" i="8" s="1"/>
  <c r="R5" i="5"/>
  <c r="E46" i="8"/>
  <c r="G46" i="8" s="1"/>
  <c r="S12" i="3"/>
  <c r="H46" i="8" s="1"/>
  <c r="R12" i="3"/>
  <c r="E13" i="8"/>
  <c r="G13" i="8" s="1"/>
  <c r="S6" i="5"/>
  <c r="H13" i="8" s="1"/>
  <c r="R6" i="5"/>
  <c r="I29" i="8"/>
  <c r="K29" i="8" s="1"/>
  <c r="W9" i="3"/>
  <c r="L29" i="8" s="1"/>
  <c r="V9" i="3"/>
  <c r="G79" i="8"/>
  <c r="E120" i="8"/>
  <c r="G120" i="8" s="1"/>
  <c r="R24" i="5"/>
  <c r="S24" i="5"/>
  <c r="H120" i="8" s="1"/>
  <c r="I120" i="8"/>
  <c r="K120" i="8" s="1"/>
  <c r="V24" i="5"/>
  <c r="W24" i="5"/>
  <c r="L120" i="8" s="1"/>
  <c r="S20" i="2"/>
  <c r="H93" i="8" s="1"/>
  <c r="I108" i="8"/>
  <c r="K108" i="8" s="1"/>
  <c r="V22" i="5"/>
  <c r="W22" i="5"/>
  <c r="L108" i="8" s="1"/>
  <c r="I44" i="8"/>
  <c r="K44" i="8" s="1"/>
  <c r="V11" i="7"/>
  <c r="E114" i="8"/>
  <c r="G114" i="8" s="1"/>
  <c r="R23" i="5"/>
  <c r="I41" i="8"/>
  <c r="K41" i="8" s="1"/>
  <c r="W11" i="4"/>
  <c r="L41" i="8" s="1"/>
  <c r="V11" i="4"/>
  <c r="I49" i="8"/>
  <c r="K49" i="8" s="1"/>
  <c r="V12" i="6"/>
  <c r="I37" i="8"/>
  <c r="K37" i="8" s="1"/>
  <c r="V10" i="6"/>
  <c r="W10" i="6"/>
  <c r="L37" i="8" s="1"/>
  <c r="E6" i="8"/>
  <c r="G6" i="8" s="1"/>
  <c r="R5" i="4"/>
  <c r="E72" i="8"/>
  <c r="G72" i="8" s="1"/>
  <c r="R16" i="5"/>
  <c r="E53" i="8"/>
  <c r="G53" i="8" s="1"/>
  <c r="S13" i="4"/>
  <c r="H53" i="8" s="1"/>
  <c r="R13" i="4"/>
  <c r="I80" i="8"/>
  <c r="K80" i="8" s="1"/>
  <c r="V17" i="7"/>
  <c r="I68" i="8"/>
  <c r="K68" i="8" s="1"/>
  <c r="V15" i="7"/>
  <c r="E85" i="8"/>
  <c r="G85" i="8" s="1"/>
  <c r="R18" i="6"/>
  <c r="S18" i="6"/>
  <c r="H85" i="8" s="1"/>
  <c r="E5" i="8"/>
  <c r="G5" i="8" s="1"/>
  <c r="S5" i="3"/>
  <c r="H5" i="8" s="1"/>
  <c r="R5" i="3"/>
  <c r="E113" i="8"/>
  <c r="G113" i="8" s="1"/>
  <c r="R23" i="4"/>
  <c r="I22" i="8"/>
  <c r="K22" i="8" s="1"/>
  <c r="W8" i="2"/>
  <c r="L22" i="8" s="1"/>
  <c r="V8" i="2"/>
  <c r="E117" i="8"/>
  <c r="G117" i="8" s="1"/>
  <c r="S24" i="2"/>
  <c r="H117" i="8" s="1"/>
  <c r="R24" i="2"/>
  <c r="I118" i="8"/>
  <c r="K118" i="8" s="1"/>
  <c r="W24" i="3"/>
  <c r="L118" i="8" s="1"/>
  <c r="V24" i="3"/>
  <c r="I12" i="8"/>
  <c r="K12" i="8" s="1"/>
  <c r="W6" i="4"/>
  <c r="L12" i="8" s="1"/>
  <c r="V6" i="4"/>
  <c r="S7" i="2"/>
  <c r="H16" i="8" s="1"/>
  <c r="V9" i="7"/>
  <c r="E54" i="8"/>
  <c r="G54" i="8" s="1"/>
  <c r="R13" i="5"/>
  <c r="I85" i="8"/>
  <c r="K85" i="8" s="1"/>
  <c r="V18" i="6"/>
  <c r="I73" i="8"/>
  <c r="K73" i="8" s="1"/>
  <c r="V16" i="6"/>
  <c r="W16" i="6"/>
  <c r="L73" i="8" s="1"/>
  <c r="E118" i="8"/>
  <c r="G118" i="8" s="1"/>
  <c r="R24" i="3"/>
  <c r="S24" i="3"/>
  <c r="H118" i="8" s="1"/>
  <c r="R9" i="7"/>
  <c r="E24" i="8"/>
  <c r="G24" i="8" s="1"/>
  <c r="S8" i="4"/>
  <c r="H24" i="8" s="1"/>
  <c r="R8" i="4"/>
  <c r="I116" i="8"/>
  <c r="K116" i="8" s="1"/>
  <c r="V23" i="7"/>
  <c r="E32" i="8"/>
  <c r="G32" i="8" s="1"/>
  <c r="R9" i="6"/>
  <c r="E121" i="8"/>
  <c r="G121" i="8" s="1"/>
  <c r="R24" i="6"/>
  <c r="S24" i="6"/>
  <c r="H121" i="8" s="1"/>
  <c r="E83" i="8"/>
  <c r="G83" i="8" s="1"/>
  <c r="R18" i="4"/>
  <c r="E107" i="8"/>
  <c r="G107" i="8" s="1"/>
  <c r="S22" i="4"/>
  <c r="H107" i="8" s="1"/>
  <c r="R22" i="4"/>
  <c r="I111" i="8"/>
  <c r="K111" i="8" s="1"/>
  <c r="W23" i="2"/>
  <c r="L111" i="8" s="1"/>
  <c r="V23" i="2"/>
  <c r="E95" i="8"/>
  <c r="G95" i="8" s="1"/>
  <c r="S20" i="4"/>
  <c r="H95" i="8" s="1"/>
  <c r="R20" i="4"/>
  <c r="E33" i="8"/>
  <c r="G33" i="8" s="1"/>
  <c r="S10" i="2"/>
  <c r="H33" i="8" s="1"/>
  <c r="R10" i="2"/>
  <c r="W23" i="3"/>
  <c r="L112" i="8" s="1"/>
  <c r="I6" i="8"/>
  <c r="K6" i="8" s="1"/>
  <c r="W5" i="4"/>
  <c r="L6" i="8" s="1"/>
  <c r="V5" i="4"/>
  <c r="R20" i="2"/>
  <c r="E119" i="8"/>
  <c r="G119" i="8" s="1"/>
  <c r="R24" i="4"/>
  <c r="I107" i="8"/>
  <c r="K107" i="8" s="1"/>
  <c r="V22" i="4"/>
  <c r="I94" i="8"/>
  <c r="K94" i="8" s="1"/>
  <c r="V20" i="3"/>
  <c r="W20" i="3"/>
  <c r="L94" i="8" s="1"/>
  <c r="I95" i="8"/>
  <c r="K95" i="8" s="1"/>
  <c r="W20" i="4"/>
  <c r="L95" i="8" s="1"/>
  <c r="V20" i="4"/>
  <c r="S9" i="7"/>
  <c r="E106" i="8"/>
  <c r="G106" i="8" s="1"/>
  <c r="S22" i="3"/>
  <c r="H106" i="8" s="1"/>
  <c r="R22" i="3"/>
  <c r="I104" i="8"/>
  <c r="K104" i="8" s="1"/>
  <c r="W21" i="7"/>
  <c r="L104" i="8" s="1"/>
  <c r="V21" i="7"/>
  <c r="E67" i="8"/>
  <c r="G67" i="8" s="1"/>
  <c r="R15" i="6"/>
  <c r="E20" i="8"/>
  <c r="G20" i="8" s="1"/>
  <c r="R7" i="6"/>
  <c r="E89" i="8"/>
  <c r="G89" i="8" s="1"/>
  <c r="S19" i="4"/>
  <c r="H89" i="8" s="1"/>
  <c r="R19" i="4"/>
  <c r="I63" i="8"/>
  <c r="K63" i="8" s="1"/>
  <c r="W15" i="2"/>
  <c r="L63" i="8" s="1"/>
  <c r="V15" i="2"/>
  <c r="R7" i="2"/>
  <c r="E48" i="8"/>
  <c r="G48" i="8" s="1"/>
  <c r="S12" i="5"/>
  <c r="H48" i="8" s="1"/>
  <c r="R12" i="5"/>
  <c r="E63" i="8"/>
  <c r="G63" i="8" s="1"/>
  <c r="R15" i="2"/>
  <c r="S15" i="2"/>
  <c r="H63" i="8" s="1"/>
  <c r="I87" i="8"/>
  <c r="K87" i="8" s="1"/>
  <c r="W19" i="2"/>
  <c r="L87" i="8" s="1"/>
  <c r="E49" i="8"/>
  <c r="G49" i="8" s="1"/>
  <c r="R12" i="6"/>
  <c r="S12" i="6"/>
  <c r="H49" i="8" s="1"/>
  <c r="I109" i="8"/>
  <c r="K109" i="8" s="1"/>
  <c r="V22" i="6"/>
  <c r="W22" i="6"/>
  <c r="L109" i="8" s="1"/>
  <c r="E96" i="8"/>
  <c r="G96" i="8" s="1"/>
  <c r="R20" i="5"/>
  <c r="S20" i="5"/>
  <c r="H96" i="8" s="1"/>
  <c r="I20" i="8"/>
  <c r="K20" i="8" s="1"/>
  <c r="V7" i="6"/>
  <c r="E100" i="8"/>
  <c r="G100" i="8" s="1"/>
  <c r="R21" i="3"/>
  <c r="I15" i="8"/>
  <c r="K15" i="8" s="1"/>
  <c r="V6" i="7"/>
  <c r="W6" i="7"/>
  <c r="L15" i="8" s="1"/>
  <c r="R23" i="6"/>
  <c r="E103" i="8"/>
  <c r="G103" i="8" s="1"/>
  <c r="R21" i="6"/>
  <c r="E55" i="8"/>
  <c r="G55" i="8" s="1"/>
  <c r="R13" i="6"/>
  <c r="E59" i="8"/>
  <c r="G59" i="8" s="1"/>
  <c r="S14" i="4"/>
  <c r="H59" i="8" s="1"/>
  <c r="R14" i="4"/>
  <c r="I28" i="8"/>
  <c r="K28" i="8" s="1"/>
  <c r="W9" i="2"/>
  <c r="L28" i="8" s="1"/>
  <c r="V9" i="2"/>
  <c r="V7" i="7"/>
  <c r="I10" i="8"/>
  <c r="K10" i="8" s="1"/>
  <c r="V6" i="2"/>
  <c r="E42" i="8"/>
  <c r="G42" i="8" s="1"/>
  <c r="R11" i="5"/>
  <c r="E76" i="8"/>
  <c r="G76" i="8" s="1"/>
  <c r="S17" i="3"/>
  <c r="H76" i="8" s="1"/>
  <c r="R17" i="3"/>
  <c r="I51" i="8"/>
  <c r="K51" i="8" s="1"/>
  <c r="W13" i="2"/>
  <c r="L51" i="8" s="1"/>
  <c r="V13" i="2"/>
  <c r="I58" i="8"/>
  <c r="K58" i="8" s="1"/>
  <c r="W14" i="3"/>
  <c r="L58" i="8" s="1"/>
  <c r="V14" i="3"/>
  <c r="E38" i="8"/>
  <c r="G38" i="8" s="1"/>
  <c r="R10" i="7"/>
  <c r="S10" i="7"/>
  <c r="H38" i="8" s="1"/>
  <c r="S17" i="5"/>
  <c r="H78" i="8" s="1"/>
  <c r="I99" i="8"/>
  <c r="K99" i="8" s="1"/>
  <c r="V21" i="2"/>
  <c r="E27" i="8"/>
  <c r="G27" i="8" s="1"/>
  <c r="R8" i="7"/>
  <c r="S8" i="7"/>
  <c r="H27" i="8" s="1"/>
  <c r="S6" i="7"/>
  <c r="H15" i="8" s="1"/>
  <c r="W9" i="7"/>
  <c r="R22" i="7"/>
  <c r="E57" i="8"/>
  <c r="G57" i="8" s="1"/>
  <c r="R14" i="2"/>
  <c r="I65" i="8"/>
  <c r="K65" i="8" s="1"/>
  <c r="V15" i="4"/>
  <c r="I101" i="8"/>
  <c r="K101" i="8" s="1"/>
  <c r="V21" i="4"/>
  <c r="W19" i="3"/>
  <c r="L88" i="8" s="1"/>
  <c r="S23" i="7"/>
  <c r="H116" i="8" s="1"/>
  <c r="E116" i="8"/>
  <c r="G116" i="8" s="1"/>
  <c r="R23" i="7"/>
  <c r="E21" i="8"/>
  <c r="G21" i="8" s="1"/>
  <c r="R7" i="7"/>
  <c r="I55" i="8"/>
  <c r="K55" i="8" s="1"/>
  <c r="V13" i="6"/>
  <c r="I8" i="8"/>
  <c r="K8" i="8" s="1"/>
  <c r="V5" i="6"/>
  <c r="I59" i="8"/>
  <c r="K59" i="8" s="1"/>
  <c r="W14" i="4"/>
  <c r="L59" i="8" s="1"/>
  <c r="V14" i="4"/>
  <c r="R14" i="3"/>
  <c r="W19" i="4"/>
  <c r="L89" i="8" s="1"/>
  <c r="R17" i="4"/>
  <c r="R11" i="6"/>
  <c r="I119" i="8"/>
  <c r="K119" i="8" s="1"/>
  <c r="W24" i="4"/>
  <c r="L119" i="8" s="1"/>
  <c r="V24" i="4"/>
  <c r="I82" i="8"/>
  <c r="K82" i="8" s="1"/>
  <c r="W18" i="3"/>
  <c r="L82" i="8" s="1"/>
  <c r="V18" i="3"/>
  <c r="I50" i="8"/>
  <c r="K50" i="8" s="1"/>
  <c r="V12" i="7"/>
  <c r="W12" i="7"/>
  <c r="L50" i="8" s="1"/>
  <c r="S23" i="6"/>
  <c r="H115" i="8" s="1"/>
  <c r="E73" i="8"/>
  <c r="G73" i="8" s="1"/>
  <c r="R16" i="6"/>
  <c r="S16" i="6"/>
  <c r="H73" i="8" s="1"/>
  <c r="E91" i="8"/>
  <c r="G91" i="8" s="1"/>
  <c r="R19" i="6"/>
  <c r="S23" i="2"/>
  <c r="H111" i="8" s="1"/>
  <c r="W7" i="7"/>
  <c r="L21" i="8" s="1"/>
  <c r="I64" i="8"/>
  <c r="K64" i="8" s="1"/>
  <c r="W15" i="3"/>
  <c r="L64" i="8" s="1"/>
  <c r="V15" i="3"/>
  <c r="R13" i="2"/>
  <c r="R15" i="3"/>
  <c r="E12" i="8"/>
  <c r="G12" i="8" s="1"/>
  <c r="R6" i="4"/>
  <c r="I35" i="8"/>
  <c r="K35" i="8" s="1"/>
  <c r="V10" i="4"/>
  <c r="W11" i="7"/>
  <c r="L44" i="8" s="1"/>
  <c r="S18" i="7"/>
  <c r="H86" i="8" s="1"/>
  <c r="I121" i="8"/>
  <c r="K121" i="8" s="1"/>
  <c r="V24" i="6"/>
  <c r="E108" i="8"/>
  <c r="G108" i="8" s="1"/>
  <c r="R22" i="5"/>
  <c r="E102" i="8"/>
  <c r="G102" i="8" s="1"/>
  <c r="R21" i="5"/>
  <c r="S15" i="3"/>
  <c r="H64" i="8" s="1"/>
  <c r="I91" i="8"/>
  <c r="K91" i="8" s="1"/>
  <c r="V19" i="6"/>
  <c r="I43" i="8"/>
  <c r="K43" i="8" s="1"/>
  <c r="V11" i="6"/>
  <c r="I53" i="8"/>
  <c r="K53" i="8" s="1"/>
  <c r="V13" i="4"/>
  <c r="I113" i="8"/>
  <c r="K113" i="8" s="1"/>
  <c r="W23" i="4"/>
  <c r="L113" i="8" s="1"/>
  <c r="V23" i="4"/>
  <c r="I40" i="8"/>
  <c r="K40" i="8" s="1"/>
  <c r="V11" i="3"/>
  <c r="I92" i="8"/>
  <c r="K92" i="8" s="1"/>
  <c r="W19" i="7"/>
  <c r="L92" i="8" s="1"/>
  <c r="V19" i="7"/>
  <c r="G115" i="8"/>
  <c r="E109" i="8"/>
  <c r="G109" i="8" s="1"/>
  <c r="R22" i="6"/>
  <c r="S22" i="6"/>
  <c r="H109" i="8" s="1"/>
  <c r="I48" i="8"/>
  <c r="K48" i="8" s="1"/>
  <c r="W12" i="5"/>
  <c r="L48" i="8" s="1"/>
  <c r="V12" i="5"/>
  <c r="E75" i="8"/>
  <c r="G75" i="8" s="1"/>
  <c r="S17" i="2"/>
  <c r="H75" i="8" s="1"/>
  <c r="R17" i="2"/>
  <c r="I60" i="8"/>
  <c r="K60" i="8" s="1"/>
  <c r="V14" i="5"/>
  <c r="K21" i="8"/>
  <c r="I66" i="8"/>
  <c r="K66" i="8" s="1"/>
  <c r="V15" i="5"/>
  <c r="E34" i="8"/>
  <c r="G34" i="8" s="1"/>
  <c r="S10" i="3"/>
  <c r="H34" i="8" s="1"/>
  <c r="R10" i="3"/>
  <c r="I45" i="8"/>
  <c r="K45" i="8" s="1"/>
  <c r="V12" i="2"/>
  <c r="I47" i="8"/>
  <c r="K47" i="8" s="1"/>
  <c r="W12" i="4"/>
  <c r="L47" i="8" s="1"/>
  <c r="V12" i="4"/>
  <c r="E40" i="8"/>
  <c r="G40" i="8" s="1"/>
  <c r="S11" i="3"/>
  <c r="H40" i="8" s="1"/>
  <c r="R11" i="3"/>
  <c r="E104" i="8"/>
  <c r="G104" i="8" s="1"/>
  <c r="S21" i="7"/>
  <c r="H104" i="8" s="1"/>
  <c r="R21" i="7"/>
  <c r="E98" i="8"/>
  <c r="G98" i="8" s="1"/>
  <c r="R20" i="7"/>
  <c r="I71" i="8"/>
  <c r="K71" i="8" s="1"/>
  <c r="V16" i="4"/>
  <c r="G64" i="8"/>
  <c r="I61" i="8"/>
  <c r="K61" i="8" s="1"/>
  <c r="V14" i="6"/>
  <c r="W14" i="6"/>
  <c r="L61" i="8" s="1"/>
  <c r="I79" i="8"/>
  <c r="K79" i="8" s="1"/>
  <c r="V17" i="6"/>
  <c r="I96" i="8"/>
  <c r="K96" i="8" s="1"/>
  <c r="V20" i="5"/>
  <c r="I83" i="8"/>
  <c r="K83" i="8" s="1"/>
  <c r="V18" i="4"/>
  <c r="W18" i="4"/>
  <c r="L83" i="8" s="1"/>
  <c r="E81" i="8"/>
  <c r="G81" i="8" s="1"/>
  <c r="S18" i="2"/>
  <c r="H81" i="8" s="1"/>
  <c r="R18" i="2"/>
  <c r="V21" i="6"/>
  <c r="E39" i="8"/>
  <c r="G39" i="8" s="1"/>
  <c r="S11" i="2"/>
  <c r="H39" i="8" s="1"/>
  <c r="R11" i="2"/>
  <c r="E69" i="8"/>
  <c r="G69" i="8" s="1"/>
  <c r="S16" i="2"/>
  <c r="H69" i="8" s="1"/>
  <c r="R16" i="2"/>
  <c r="I54" i="8"/>
  <c r="K54" i="8" s="1"/>
  <c r="V13" i="5"/>
  <c r="V15" i="6"/>
  <c r="I102" i="8"/>
  <c r="K102" i="8" s="1"/>
  <c r="V21" i="5"/>
  <c r="I34" i="8"/>
  <c r="K34" i="8" s="1"/>
  <c r="W10" i="3"/>
  <c r="L34" i="8" s="1"/>
  <c r="V10" i="3"/>
  <c r="I24" i="8"/>
  <c r="K24" i="8" s="1"/>
  <c r="W8" i="4"/>
  <c r="L24" i="8" s="1"/>
  <c r="V8" i="4"/>
  <c r="E44" i="8"/>
  <c r="G44" i="8" s="1"/>
  <c r="R11" i="7"/>
  <c r="I97" i="8"/>
  <c r="K97" i="8" s="1"/>
  <c r="V20" i="6"/>
  <c r="W20" i="6"/>
  <c r="L97" i="8" s="1"/>
  <c r="I115" i="8"/>
  <c r="K115" i="8" s="1"/>
  <c r="V23" i="6"/>
  <c r="S9" i="4"/>
  <c r="H30" i="8" s="1"/>
  <c r="I72" i="8"/>
  <c r="K72" i="8" s="1"/>
  <c r="V16" i="5"/>
  <c r="W16" i="5"/>
  <c r="L72" i="8" s="1"/>
  <c r="I77" i="8"/>
  <c r="K77" i="8" s="1"/>
  <c r="W17" i="4"/>
  <c r="L77" i="8" s="1"/>
  <c r="V17" i="4"/>
  <c r="E47" i="8"/>
  <c r="G47" i="8" s="1"/>
  <c r="R12" i="4"/>
  <c r="V9" i="6"/>
  <c r="W21" i="6"/>
  <c r="L103" i="8" s="1"/>
  <c r="E4" i="8"/>
  <c r="G4" i="8" s="1"/>
  <c r="S5" i="2"/>
  <c r="H4" i="8" s="1"/>
  <c r="R5" i="2"/>
  <c r="I42" i="8"/>
  <c r="K42" i="8" s="1"/>
  <c r="V11" i="5"/>
  <c r="E94" i="8"/>
  <c r="G94" i="8" s="1"/>
  <c r="S20" i="3"/>
  <c r="H94" i="8" s="1"/>
  <c r="R20" i="3"/>
  <c r="G28" i="8"/>
  <c r="S9" i="2"/>
  <c r="H28" i="8" s="1"/>
  <c r="R9" i="2"/>
  <c r="W15" i="6"/>
  <c r="L67" i="8" s="1"/>
  <c r="E22" i="8"/>
  <c r="G22" i="8" s="1"/>
  <c r="R8" i="2"/>
  <c r="E84" i="8"/>
  <c r="G84" i="8" s="1"/>
  <c r="R18" i="5"/>
  <c r="S18" i="5"/>
  <c r="H84" i="8" s="1"/>
  <c r="S13" i="2"/>
  <c r="H51" i="8" s="1"/>
  <c r="I13" i="8"/>
  <c r="K13" i="8" s="1"/>
  <c r="W6" i="5"/>
  <c r="L13" i="8" s="1"/>
  <c r="V6" i="5"/>
  <c r="E105" i="8"/>
  <c r="G105" i="8" s="1"/>
  <c r="S22" i="2"/>
  <c r="H105" i="8" s="1"/>
  <c r="I18" i="8"/>
  <c r="K18" i="8" s="1"/>
  <c r="V7" i="4"/>
  <c r="W24" i="6"/>
  <c r="L121" i="8" s="1"/>
  <c r="W10" i="4"/>
  <c r="L35" i="8" s="1"/>
  <c r="E9" i="8"/>
  <c r="G9" i="8" s="1"/>
  <c r="R5" i="7"/>
  <c r="S23" i="5"/>
  <c r="H114" i="8" s="1"/>
  <c r="S19" i="7"/>
  <c r="H92" i="8" s="1"/>
  <c r="S22" i="5"/>
  <c r="H108" i="8" s="1"/>
  <c r="S24" i="4"/>
  <c r="H119" i="8" s="1"/>
  <c r="S6" i="4"/>
  <c r="H12" i="8" s="1"/>
  <c r="R17" i="7"/>
  <c r="W15" i="4"/>
  <c r="L65" i="8" s="1"/>
  <c r="S24" i="7"/>
  <c r="H122" i="8" s="1"/>
  <c r="E74" i="8"/>
  <c r="G74" i="8" s="1"/>
  <c r="R16" i="7"/>
  <c r="S16" i="7"/>
  <c r="H74" i="8" s="1"/>
  <c r="W19" i="6"/>
  <c r="L91" i="8" s="1"/>
  <c r="R18" i="7"/>
  <c r="R19" i="5"/>
  <c r="E23" i="8"/>
  <c r="G23" i="8" s="1"/>
  <c r="S8" i="3"/>
  <c r="H23" i="8" s="1"/>
  <c r="S15" i="5"/>
  <c r="H66" i="8" s="1"/>
  <c r="W9" i="6"/>
  <c r="L32" i="8" s="1"/>
  <c r="S17" i="4"/>
  <c r="H77" i="8" s="1"/>
  <c r="K103" i="8"/>
  <c r="I36" i="8"/>
  <c r="K36" i="8" s="1"/>
  <c r="W10" i="5"/>
  <c r="L36" i="8" s="1"/>
  <c r="V10" i="5"/>
  <c r="E88" i="8"/>
  <c r="G88" i="8" s="1"/>
  <c r="R19" i="3"/>
  <c r="K67" i="8"/>
  <c r="R17" i="6"/>
  <c r="W6" i="3"/>
  <c r="L11" i="8" s="1"/>
  <c r="S8" i="2"/>
  <c r="H22" i="8" s="1"/>
  <c r="I17" i="8"/>
  <c r="K17" i="8" s="1"/>
  <c r="V7" i="3"/>
  <c r="E60" i="8"/>
  <c r="G60" i="8" s="1"/>
  <c r="S14" i="5"/>
  <c r="H60" i="8" s="1"/>
  <c r="R14" i="5"/>
  <c r="R23" i="2"/>
  <c r="E65" i="8"/>
  <c r="G65" i="8" s="1"/>
  <c r="R15" i="4"/>
  <c r="E62" i="8"/>
  <c r="G62" i="8" s="1"/>
  <c r="S14" i="7"/>
  <c r="H62" i="8" s="1"/>
  <c r="R14" i="7"/>
  <c r="W19" i="5"/>
  <c r="L90" i="8" s="1"/>
  <c r="R15" i="7"/>
  <c r="E26" i="8"/>
  <c r="G26" i="8" s="1"/>
  <c r="R8" i="6"/>
  <c r="I25" i="8"/>
  <c r="K25" i="8" s="1"/>
  <c r="V8" i="5"/>
  <c r="E18" i="8"/>
  <c r="G18" i="8" s="1"/>
  <c r="S7" i="4"/>
  <c r="H18" i="8" s="1"/>
  <c r="R7" i="4"/>
  <c r="I110" i="8"/>
  <c r="K110" i="8" s="1"/>
  <c r="W22" i="7"/>
  <c r="L110" i="8" s="1"/>
  <c r="V22" i="7"/>
  <c r="I27" i="8"/>
  <c r="K27" i="8" s="1"/>
  <c r="V8" i="7"/>
  <c r="W8" i="7"/>
  <c r="L27" i="8" s="1"/>
  <c r="E61" i="8"/>
  <c r="G61" i="8" s="1"/>
  <c r="R14" i="6"/>
  <c r="I31" i="8"/>
  <c r="K31" i="8" s="1"/>
  <c r="W9" i="5"/>
  <c r="L31" i="8" s="1"/>
  <c r="V9" i="5"/>
  <c r="I16" i="8"/>
  <c r="K16" i="8" s="1"/>
  <c r="V7" i="2"/>
  <c r="W7" i="2"/>
  <c r="L16" i="8" s="1"/>
  <c r="I76" i="8"/>
  <c r="K76" i="8" s="1"/>
  <c r="W17" i="3"/>
  <c r="L76" i="8" s="1"/>
  <c r="V17" i="3"/>
  <c r="E25" i="8"/>
  <c r="G25" i="8" s="1"/>
  <c r="S8" i="5"/>
  <c r="H25" i="8" s="1"/>
  <c r="R8" i="5"/>
  <c r="W21" i="2"/>
  <c r="L99" i="8" s="1"/>
  <c r="I70" i="8"/>
  <c r="K70" i="8" s="1"/>
  <c r="W16" i="3"/>
  <c r="L70" i="8" s="1"/>
  <c r="V16" i="3"/>
  <c r="S17" i="6"/>
  <c r="H79" i="8" s="1"/>
  <c r="I84" i="8"/>
  <c r="K84" i="8" s="1"/>
  <c r="V18" i="5"/>
  <c r="W18" i="5"/>
  <c r="L84" i="8" s="1"/>
</calcChain>
</file>

<file path=xl/sharedStrings.xml><?xml version="1.0" encoding="utf-8"?>
<sst xmlns="http://schemas.openxmlformats.org/spreadsheetml/2006/main" count="1371" uniqueCount="171">
  <si>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 xml:space="preserve">접수 일일점검 </t>
    </r>
    <r>
      <rPr>
        <b/>
        <sz val="14"/>
        <color rgb="FF000000"/>
        <rFont val="맑은 고딕"/>
        <family val="3"/>
        <charset val="129"/>
      </rPr>
      <t xml:space="preserve">/ </t>
    </r>
    <r>
      <rPr>
        <b/>
        <sz val="14"/>
        <color rgb="FF000000"/>
        <rFont val="Noto Sans CJK SC"/>
        <family val="2"/>
      </rPr>
      <t>주간 자동집계 — 사용안내</t>
    </r>
  </si>
  <si>
    <r>
      <rPr>
        <b/>
        <sz val="11"/>
        <color rgb="FF1F4E79"/>
        <rFont val="맑은 고딕"/>
        <family val="3"/>
        <charset val="129"/>
      </rPr>
      <t>[</t>
    </r>
    <r>
      <rPr>
        <b/>
        <sz val="11"/>
        <color rgb="FF1F4E79"/>
        <rFont val="Noto Sans CJK SC"/>
        <family val="2"/>
      </rPr>
      <t>매일 하는 일</t>
    </r>
    <r>
      <rPr>
        <b/>
        <sz val="11"/>
        <color rgb="FF1F4E79"/>
        <rFont val="맑은 고딕"/>
        <family val="3"/>
        <charset val="129"/>
      </rPr>
      <t>]</t>
    </r>
  </si>
  <si>
    <t>1</t>
  </si>
  <si>
    <t>2</t>
  </si>
  <si>
    <r>
      <rPr>
        <sz val="10"/>
        <color rgb="FF000000"/>
        <rFont val="Noto Sans CJK SC"/>
        <family val="2"/>
      </rPr>
      <t xml:space="preserve">전날 날짜 행을 찾아 노란색 칸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개만 입력한다 → </t>
    </r>
    <r>
      <rPr>
        <sz val="10"/>
        <color rgb="FF000000"/>
        <rFont val="맑은 고딕"/>
        <family val="3"/>
        <charset val="129"/>
      </rPr>
      <t>C</t>
    </r>
    <r>
      <rPr>
        <sz val="10"/>
        <color rgb="FF000000"/>
        <rFont val="Noto Sans CJK SC"/>
        <family val="2"/>
      </rPr>
      <t>열 수신 실적</t>
    </r>
    <r>
      <rPr>
        <sz val="10"/>
        <color rgb="FF000000"/>
        <rFont val="맑은 고딕"/>
        <family val="3"/>
        <charset val="129"/>
      </rPr>
      <t>, D</t>
    </r>
    <r>
      <rPr>
        <sz val="10"/>
        <color rgb="FF000000"/>
        <rFont val="Noto Sans CJK SC"/>
        <family val="2"/>
      </rPr>
      <t>열 접수 실적</t>
    </r>
    <r>
      <rPr>
        <sz val="10"/>
        <color rgb="FF000000"/>
        <rFont val="맑은 고딕"/>
        <family val="3"/>
        <charset val="129"/>
      </rPr>
      <t>, E</t>
    </r>
    <r>
      <rPr>
        <sz val="10"/>
        <color rgb="FF000000"/>
        <rFont val="Noto Sans CJK SC"/>
        <family val="2"/>
      </rPr>
      <t>열 비고</t>
    </r>
    <r>
      <rPr>
        <sz val="10"/>
        <color rgb="FF000000"/>
        <rFont val="맑은 고딕"/>
        <family val="3"/>
        <charset val="129"/>
      </rPr>
      <t>.</t>
    </r>
  </si>
  <si>
    <t>3</t>
  </si>
  <si>
    <r>
      <rPr>
        <sz val="10"/>
        <color rgb="FF000000"/>
        <rFont val="Noto Sans CJK SC"/>
        <family val="2"/>
      </rPr>
      <t>근무를 안 한 날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휴무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연차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은 실적을 비우고 </t>
    </r>
    <r>
      <rPr>
        <sz val="10"/>
        <color rgb="FF000000"/>
        <rFont val="맑은 고딕"/>
        <family val="3"/>
        <charset val="129"/>
      </rPr>
      <t>E</t>
    </r>
    <r>
      <rPr>
        <sz val="10"/>
        <color rgb="FF000000"/>
        <rFont val="Noto Sans CJK SC"/>
        <family val="2"/>
      </rPr>
      <t>열 비고에서 값을 선택한다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비고 선택값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휴무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연차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오전반차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오후반차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입사전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기타</t>
    </r>
  </si>
  <si>
    <t>4</t>
  </si>
  <si>
    <r>
      <rPr>
        <sz val="10"/>
        <color rgb="FF000000"/>
        <rFont val="Noto Sans CJK SC"/>
        <family val="2"/>
      </rPr>
      <t>나머지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목표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달성률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달성여부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주간 평균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주간 달성여부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는 전부 자동 계산된다</t>
    </r>
    <r>
      <rPr>
        <sz val="10"/>
        <color rgb="FF000000"/>
        <rFont val="맑은 고딕"/>
        <family val="3"/>
        <charset val="129"/>
      </rPr>
      <t>.</t>
    </r>
  </si>
  <si>
    <t>5</t>
  </si>
  <si>
    <r>
      <rPr>
        <sz val="10"/>
        <color rgb="FF000000"/>
        <rFont val="Noto Sans CJK SC"/>
        <family val="2"/>
      </rPr>
      <t>오늘 날짜 행은 주황색으로 자동 표시된다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</si>
  <si>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1F4E79"/>
        <rFont val="맑은 고딕"/>
        <family val="3"/>
        <charset val="129"/>
      </rPr>
      <t>[</t>
    </r>
    <r>
      <rPr>
        <b/>
        <sz val="11"/>
        <color rgb="FF1F4E79"/>
        <rFont val="Noto Sans CJK SC"/>
        <family val="2"/>
      </rPr>
      <t>주간 보고서</t>
    </r>
    <r>
      <rPr>
        <b/>
        <sz val="11"/>
        <color rgb="FF1F4E79"/>
        <rFont val="맑은 고딕"/>
        <family val="3"/>
        <charset val="129"/>
      </rPr>
      <t>]</t>
    </r>
  </si>
  <si>
    <t>·</t>
  </si>
  <si>
    <r>
      <rPr>
        <sz val="10"/>
        <color rgb="FF000000"/>
        <rFont val="Noto Sans CJK SC"/>
        <family val="2"/>
      </rPr>
      <t>각 팀원 시트 오른쪽</t>
    </r>
    <r>
      <rPr>
        <sz val="10"/>
        <color rgb="FF000000"/>
        <rFont val="맑은 고딕"/>
        <family val="3"/>
        <charset val="129"/>
      </rPr>
      <t>(M~X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에 그 사람의 주차별 집계가 자동으로 만들어진다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</si>
  <si>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주간 점검 보고서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 xml:space="preserve">시트에 </t>
    </r>
    <r>
      <rPr>
        <sz val="10"/>
        <color rgb="FF000000"/>
        <rFont val="맑은 고딕"/>
        <family val="3"/>
        <charset val="129"/>
      </rPr>
      <t>6</t>
    </r>
    <r>
      <rPr>
        <sz val="10"/>
        <color rgb="FF000000"/>
        <rFont val="Noto Sans CJK SC"/>
        <family val="2"/>
      </rPr>
      <t xml:space="preserve">명 </t>
    </r>
    <r>
      <rPr>
        <sz val="10"/>
        <color rgb="FF000000"/>
        <rFont val="맑은 고딕"/>
        <family val="3"/>
        <charset val="129"/>
      </rPr>
      <t>× 20</t>
    </r>
    <r>
      <rPr>
        <sz val="10"/>
        <color rgb="FF000000"/>
        <rFont val="Noto Sans CJK SC"/>
        <family val="2"/>
      </rPr>
      <t>주차가 한 장으로 모여 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여기도 전부 자동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</si>
  <si>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사람이 직접 쓰는 칸은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주간 피드백내용</t>
    </r>
    <r>
      <rPr>
        <sz val="10"/>
        <color rgb="FF000000"/>
        <rFont val="맑은 고딕"/>
        <family val="3"/>
        <charset val="129"/>
      </rPr>
      <t>'(</t>
    </r>
    <r>
      <rPr>
        <sz val="10"/>
        <color rgb="FF000000"/>
        <rFont val="Noto Sans CJK SC"/>
        <family val="2"/>
      </rPr>
      <t xml:space="preserve">팀원 시트 </t>
    </r>
    <r>
      <rPr>
        <sz val="10"/>
        <color rgb="FF000000"/>
        <rFont val="맑은 고딕"/>
        <family val="3"/>
        <charset val="129"/>
      </rPr>
      <t>X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하나뿐이다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여기에 쓰면 통합 보고서에도 그대로 반영된다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</si>
  <si>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1F4E79"/>
        <rFont val="맑은 고딕"/>
        <family val="3"/>
        <charset val="129"/>
      </rPr>
      <t>[</t>
    </r>
    <r>
      <rPr>
        <b/>
        <sz val="11"/>
        <color rgb="FF1F4E79"/>
        <rFont val="Noto Sans CJK SC"/>
        <family val="2"/>
      </rPr>
      <t>계산 기준</t>
    </r>
    <r>
      <rPr>
        <b/>
        <sz val="11"/>
        <color rgb="FF1F4E79"/>
        <rFont val="맑은 고딕"/>
        <family val="3"/>
        <charset val="129"/>
      </rPr>
      <t>]</t>
    </r>
  </si>
  <si>
    <r>
      <rPr>
        <sz val="10"/>
        <color rgb="FF000000"/>
        <rFont val="Noto Sans CJK SC"/>
        <family val="2"/>
      </rPr>
      <t>주간 수신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 xml:space="preserve">접수 </t>
    </r>
    <r>
      <rPr>
        <sz val="10"/>
        <color rgb="FF000000"/>
        <rFont val="맑은 고딕"/>
        <family val="3"/>
        <charset val="129"/>
      </rPr>
      <t xml:space="preserve">= </t>
    </r>
    <r>
      <rPr>
        <sz val="10"/>
        <color rgb="FF000000"/>
        <rFont val="Noto Sans CJK SC"/>
        <family val="2"/>
      </rPr>
      <t xml:space="preserve">그 주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입력된 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의 평균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휴무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연차 등 실적이 빈 날은 평균에서 자동 제외된다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</si>
  <si>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주간 목표도 그 주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입력된 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의 일일 목표 평균으로 계산된다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반차가 낀 주는 주간 목표가 자동으로 내려간다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</si>
  <si>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달성여부 </t>
    </r>
    <r>
      <rPr>
        <sz val="10"/>
        <color rgb="FF000000"/>
        <rFont val="맑은 고딕"/>
        <family val="3"/>
        <charset val="129"/>
      </rPr>
      <t xml:space="preserve">= </t>
    </r>
    <r>
      <rPr>
        <sz val="10"/>
        <color rgb="FF000000"/>
        <rFont val="Noto Sans CJK SC"/>
        <family val="2"/>
      </rPr>
      <t xml:space="preserve">실적 ≥ 목표 이면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달성</t>
    </r>
    <r>
      <rPr>
        <sz val="10"/>
        <color rgb="FF000000"/>
        <rFont val="맑은 고딕"/>
        <family val="3"/>
        <charset val="129"/>
      </rPr>
      <t xml:space="preserve">', </t>
    </r>
    <r>
      <rPr>
        <sz val="10"/>
        <color rgb="FF000000"/>
        <rFont val="Noto Sans CJK SC"/>
        <family val="2"/>
      </rPr>
      <t xml:space="preserve">아니면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미달</t>
    </r>
    <r>
      <rPr>
        <sz val="10"/>
        <color rgb="FF000000"/>
        <rFont val="맑은 고딕"/>
        <family val="3"/>
        <charset val="129"/>
      </rPr>
      <t xml:space="preserve">'. </t>
    </r>
    <r>
      <rPr>
        <sz val="10"/>
        <color rgb="FF000000"/>
        <rFont val="Noto Sans CJK SC"/>
        <family val="2"/>
      </rPr>
      <t>실적이 비어 있으면 비고값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휴무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연차 등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미입력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표시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</si>
  <si>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오전반차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오후반차는 비고를 선택하면 그날 목표가 자동으로 절반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수신 </t>
    </r>
    <r>
      <rPr>
        <sz val="10"/>
        <color rgb="FF000000"/>
        <rFont val="맑은 고딕"/>
        <family val="3"/>
        <charset val="129"/>
      </rPr>
      <t xml:space="preserve">25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맑은 고딕"/>
        <family val="3"/>
        <charset val="129"/>
      </rPr>
      <t xml:space="preserve">22.5 / </t>
    </r>
    <r>
      <rPr>
        <sz val="10"/>
        <color rgb="FF000000"/>
        <rFont val="Noto Sans CJK SC"/>
        <family val="2"/>
      </rPr>
      <t xml:space="preserve">접수 </t>
    </r>
    <r>
      <rPr>
        <sz val="10"/>
        <color rgb="FF000000"/>
        <rFont val="맑은 고딕"/>
        <family val="3"/>
        <charset val="129"/>
      </rPr>
      <t xml:space="preserve">32.5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맑은 고딕"/>
        <family val="3"/>
        <charset val="129"/>
      </rPr>
      <t>30)</t>
    </r>
    <r>
      <rPr>
        <sz val="10"/>
        <color rgb="FF000000"/>
        <rFont val="Noto Sans CJK SC"/>
        <family val="2"/>
      </rPr>
      <t>으로 줄어든다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실적은 그대로 입력하면 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</si>
  <si>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목표</t>
    </r>
    <r>
      <rPr>
        <sz val="10"/>
        <color rgb="FF000000"/>
        <rFont val="맑은 고딕"/>
        <family val="3"/>
        <charset val="129"/>
      </rPr>
      <t>: 1</t>
    </r>
    <r>
      <rPr>
        <sz val="10"/>
        <color rgb="FF000000"/>
        <rFont val="Noto Sans CJK SC"/>
        <family val="2"/>
      </rPr>
      <t xml:space="preserve">년 이상 </t>
    </r>
    <r>
      <rPr>
        <sz val="10"/>
        <color rgb="FF000000"/>
        <rFont val="맑은 고딕"/>
        <family val="3"/>
        <charset val="129"/>
      </rPr>
      <t xml:space="preserve">= </t>
    </r>
    <r>
      <rPr>
        <sz val="10"/>
        <color rgb="FF000000"/>
        <rFont val="Noto Sans CJK SC"/>
        <family val="2"/>
      </rPr>
      <t xml:space="preserve">수신 </t>
    </r>
    <r>
      <rPr>
        <sz val="10"/>
        <color rgb="FF000000"/>
        <rFont val="맑은 고딕"/>
        <family val="3"/>
        <charset val="129"/>
      </rPr>
      <t xml:space="preserve">50 / </t>
    </r>
    <r>
      <rPr>
        <sz val="10"/>
        <color rgb="FF000000"/>
        <rFont val="Noto Sans CJK SC"/>
        <family val="2"/>
      </rPr>
      <t xml:space="preserve">접수 </t>
    </r>
    <r>
      <rPr>
        <sz val="10"/>
        <color rgb="FF000000"/>
        <rFont val="맑은 고딕"/>
        <family val="3"/>
        <charset val="129"/>
      </rPr>
      <t>65,  1</t>
    </r>
    <r>
      <rPr>
        <sz val="10"/>
        <color rgb="FF000000"/>
        <rFont val="Noto Sans CJK SC"/>
        <family val="2"/>
      </rPr>
      <t xml:space="preserve">년 미만 </t>
    </r>
    <r>
      <rPr>
        <sz val="10"/>
        <color rgb="FF000000"/>
        <rFont val="맑은 고딕"/>
        <family val="3"/>
        <charset val="129"/>
      </rPr>
      <t xml:space="preserve">= </t>
    </r>
    <r>
      <rPr>
        <sz val="10"/>
        <color rgb="FF000000"/>
        <rFont val="Noto Sans CJK SC"/>
        <family val="2"/>
      </rPr>
      <t xml:space="preserve">수신 </t>
    </r>
    <r>
      <rPr>
        <sz val="10"/>
        <color rgb="FF000000"/>
        <rFont val="맑은 고딕"/>
        <family val="3"/>
        <charset val="129"/>
      </rPr>
      <t xml:space="preserve">45 / </t>
    </r>
    <r>
      <rPr>
        <sz val="10"/>
        <color rgb="FF000000"/>
        <rFont val="Noto Sans CJK SC"/>
        <family val="2"/>
      </rPr>
      <t xml:space="preserve">접수 </t>
    </r>
    <r>
      <rPr>
        <sz val="10"/>
        <color rgb="FF000000"/>
        <rFont val="맑은 고딕"/>
        <family val="3"/>
        <charset val="129"/>
      </rPr>
      <t>60.</t>
    </r>
  </si>
  <si>
    <r>
      <rPr>
        <sz val="10"/>
        <color rgb="FF000000"/>
        <rFont val="Noto Sans CJK SC"/>
        <family val="2"/>
      </rPr>
      <t xml:space="preserve">목표를 바꾸려면 각 팀원 시트의 </t>
    </r>
    <r>
      <rPr>
        <sz val="10"/>
        <color rgb="FF000000"/>
        <rFont val="맑은 고딕"/>
        <family val="3"/>
        <charset val="129"/>
      </rPr>
      <t>D2(</t>
    </r>
    <r>
      <rPr>
        <sz val="10"/>
        <color rgb="FF000000"/>
        <rFont val="Noto Sans CJK SC"/>
        <family val="2"/>
      </rPr>
      <t>수신 목표</t>
    </r>
    <r>
      <rPr>
        <sz val="10"/>
        <color rgb="FF000000"/>
        <rFont val="맑은 고딕"/>
        <family val="3"/>
        <charset val="129"/>
      </rPr>
      <t>)·F2(</t>
    </r>
    <r>
      <rPr>
        <sz val="10"/>
        <color rgb="FF000000"/>
        <rFont val="Noto Sans CJK SC"/>
        <family val="2"/>
      </rPr>
      <t>접수 목표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만 고치면 전 기간에 반영된다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</si>
  <si>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근무연차가 바뀌면 각 팀원 시트 </t>
    </r>
    <r>
      <rPr>
        <sz val="10"/>
        <color rgb="FF000000"/>
        <rFont val="맑은 고딕"/>
        <family val="3"/>
        <charset val="129"/>
      </rPr>
      <t>B2</t>
    </r>
    <r>
      <rPr>
        <sz val="10"/>
        <color rgb="FF000000"/>
        <rFont val="Noto Sans CJK SC"/>
        <family val="2"/>
      </rPr>
      <t xml:space="preserve">를 고치고 </t>
    </r>
    <r>
      <rPr>
        <sz val="10"/>
        <color rgb="FF000000"/>
        <rFont val="맑은 고딕"/>
        <family val="3"/>
        <charset val="129"/>
      </rPr>
      <t xml:space="preserve">D2·F2 </t>
    </r>
    <r>
      <rPr>
        <sz val="10"/>
        <color rgb="FF000000"/>
        <rFont val="Noto Sans CJK SC"/>
        <family val="2"/>
      </rPr>
      <t>목표를 함께 조정한다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</si>
  <si>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>접수 점검표 — 이재희</t>
    </r>
  </si>
  <si>
    <t>주간 자동집계 — 이재희</t>
  </si>
  <si>
    <t>근무연차</t>
  </si>
  <si>
    <r>
      <rPr>
        <b/>
        <sz val="10"/>
        <color rgb="FF0000FF"/>
        <rFont val="맑은 고딕"/>
        <family val="3"/>
        <charset val="129"/>
      </rPr>
      <t>1</t>
    </r>
    <r>
      <rPr>
        <b/>
        <sz val="10"/>
        <color rgb="FF0000FF"/>
        <rFont val="Noto Sans CJK SC"/>
        <family val="2"/>
      </rPr>
      <t>년 이상</t>
    </r>
  </si>
  <si>
    <t>수신 목표</t>
  </si>
  <si>
    <t>접수 목표</t>
  </si>
  <si>
    <r>
      <rPr>
        <b/>
        <sz val="9"/>
        <color rgb="FFC00000"/>
        <rFont val="Noto Sans CJK SC"/>
        <family val="2"/>
      </rPr>
      <t>※ 노란색 칸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Noto Sans CJK SC"/>
        <family val="2"/>
      </rPr>
      <t xml:space="preserve">수신 실적 </t>
    </r>
    <r>
      <rPr>
        <b/>
        <sz val="9"/>
        <color rgb="FFC00000"/>
        <rFont val="맑은 고딕"/>
        <family val="3"/>
        <charset val="129"/>
      </rPr>
      <t xml:space="preserve">· </t>
    </r>
    <r>
      <rPr>
        <b/>
        <sz val="9"/>
        <color rgb="FFC00000"/>
        <rFont val="Noto Sans CJK SC"/>
        <family val="2"/>
      </rPr>
      <t xml:space="preserve">접수 실적 </t>
    </r>
    <r>
      <rPr>
        <b/>
        <sz val="9"/>
        <color rgb="FFC00000"/>
        <rFont val="맑은 고딕"/>
        <family val="3"/>
        <charset val="129"/>
      </rPr>
      <t xml:space="preserve">· </t>
    </r>
    <r>
      <rPr>
        <b/>
        <sz val="9"/>
        <color rgb="FFC00000"/>
        <rFont val="Noto Sans CJK SC"/>
        <family val="2"/>
      </rPr>
      <t>비고</t>
    </r>
    <r>
      <rPr>
        <b/>
        <sz val="9"/>
        <color rgb="FFC00000"/>
        <rFont val="맑은 고딕"/>
        <family val="3"/>
        <charset val="129"/>
      </rPr>
      <t>)</t>
    </r>
    <r>
      <rPr>
        <b/>
        <sz val="9"/>
        <color rgb="FFC00000"/>
        <rFont val="Noto Sans CJK SC"/>
        <family val="2"/>
      </rPr>
      <t>만 입력하세요</t>
    </r>
    <r>
      <rPr>
        <b/>
        <sz val="9"/>
        <color rgb="FFC00000"/>
        <rFont val="맑은 고딕"/>
        <family val="3"/>
        <charset val="129"/>
      </rPr>
      <t xml:space="preserve">. </t>
    </r>
    <r>
      <rPr>
        <b/>
        <sz val="9"/>
        <color rgb="FFC00000"/>
        <rFont val="Noto Sans CJK SC"/>
        <family val="2"/>
      </rPr>
      <t>나머지는 자동 계산됩니다</t>
    </r>
    <r>
      <rPr>
        <b/>
        <sz val="9"/>
        <color rgb="FFC00000"/>
        <rFont val="맑은 고딕"/>
        <family val="3"/>
        <charset val="129"/>
      </rPr>
      <t>.</t>
    </r>
  </si>
  <si>
    <r>
      <rPr>
        <b/>
        <sz val="9"/>
        <color rgb="FFC00000"/>
        <rFont val="Noto Sans CJK SC"/>
        <family val="2"/>
      </rPr>
      <t>※ 자동 집계 구간입니다</t>
    </r>
    <r>
      <rPr>
        <b/>
        <sz val="9"/>
        <color rgb="FFC00000"/>
        <rFont val="맑은 고딕"/>
        <family val="3"/>
        <charset val="129"/>
      </rPr>
      <t xml:space="preserve">. </t>
    </r>
    <r>
      <rPr>
        <b/>
        <sz val="9"/>
        <color rgb="FFC00000"/>
        <rFont val="Noto Sans CJK SC"/>
        <family val="2"/>
      </rPr>
      <t xml:space="preserve">직접 입력하는 칸은 </t>
    </r>
    <r>
      <rPr>
        <b/>
        <sz val="9"/>
        <color rgb="FFC00000"/>
        <rFont val="맑은 고딕"/>
        <family val="3"/>
        <charset val="129"/>
      </rPr>
      <t>'</t>
    </r>
    <r>
      <rPr>
        <b/>
        <sz val="9"/>
        <color rgb="FFC00000"/>
        <rFont val="Noto Sans CJK SC"/>
        <family val="2"/>
      </rPr>
      <t>주간 피드백내용</t>
    </r>
    <r>
      <rPr>
        <b/>
        <sz val="9"/>
        <color rgb="FFC00000"/>
        <rFont val="맑은 고딕"/>
        <family val="3"/>
        <charset val="129"/>
      </rPr>
      <t>'(X</t>
    </r>
    <r>
      <rPr>
        <b/>
        <sz val="9"/>
        <color rgb="FFC00000"/>
        <rFont val="Noto Sans CJK SC"/>
        <family val="2"/>
      </rPr>
      <t>열</t>
    </r>
    <r>
      <rPr>
        <b/>
        <sz val="9"/>
        <color rgb="FFC00000"/>
        <rFont val="맑은 고딕"/>
        <family val="3"/>
        <charset val="129"/>
      </rPr>
      <t xml:space="preserve">) </t>
    </r>
    <r>
      <rPr>
        <b/>
        <sz val="9"/>
        <color rgb="FFC00000"/>
        <rFont val="Noto Sans CJK SC"/>
        <family val="2"/>
      </rPr>
      <t>하나뿐입니다</t>
    </r>
    <r>
      <rPr>
        <b/>
        <sz val="9"/>
        <color rgb="FFC00000"/>
        <rFont val="맑은 고딕"/>
        <family val="3"/>
        <charset val="129"/>
      </rPr>
      <t>.</t>
    </r>
  </si>
  <si>
    <t>날짜</t>
  </si>
  <si>
    <t>요일</t>
  </si>
  <si>
    <t>수신 실적</t>
  </si>
  <si>
    <t>접수 실적</t>
  </si>
  <si>
    <t>비고</t>
  </si>
  <si>
    <t>수신 달성률</t>
  </si>
  <si>
    <t>수신 달성여부</t>
  </si>
  <si>
    <t>접수 달성률</t>
  </si>
  <si>
    <t>접수 달성여부</t>
  </si>
  <si>
    <t>주차</t>
  </si>
  <si>
    <t>시작일</t>
  </si>
  <si>
    <t>종료일</t>
  </si>
  <si>
    <t>주간 수신 평균</t>
  </si>
  <si>
    <t>주간 접수 평균</t>
  </si>
  <si>
    <t>주간 피드백내용</t>
  </si>
  <si>
    <t>화</t>
  </si>
  <si>
    <r>
      <rPr>
        <sz val="10"/>
        <color rgb="FF000000"/>
        <rFont val="맑은 고딕"/>
        <family val="3"/>
        <charset val="129"/>
      </rPr>
      <t>9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주차</t>
    </r>
  </si>
  <si>
    <t>수</t>
  </si>
  <si>
    <r>
      <rPr>
        <sz val="10"/>
        <color rgb="FF000000"/>
        <rFont val="맑은 고딕"/>
        <family val="3"/>
        <charset val="129"/>
      </rPr>
      <t>9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주차</t>
    </r>
  </si>
  <si>
    <t>목</t>
  </si>
  <si>
    <t>휴무</t>
  </si>
  <si>
    <r>
      <rPr>
        <sz val="10"/>
        <color rgb="FF000000"/>
        <rFont val="맑은 고딕"/>
        <family val="3"/>
        <charset val="129"/>
      </rPr>
      <t>9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주차</t>
    </r>
  </si>
  <si>
    <t>금</t>
  </si>
  <si>
    <r>
      <rPr>
        <sz val="10"/>
        <color rgb="FF000000"/>
        <rFont val="맑은 고딕"/>
        <family val="3"/>
        <charset val="129"/>
      </rPr>
      <t>9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>주차</t>
    </r>
  </si>
  <si>
    <t>토</t>
  </si>
  <si>
    <r>
      <rPr>
        <sz val="10"/>
        <color rgb="FF000000"/>
        <rFont val="맑은 고딕"/>
        <family val="3"/>
        <charset val="129"/>
      </rPr>
      <t>9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Noto Sans CJK SC"/>
        <family val="2"/>
      </rPr>
      <t>주차</t>
    </r>
  </si>
  <si>
    <t>일</t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</si>
  <si>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주차</t>
    </r>
  </si>
  <si>
    <t>월</t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</si>
  <si>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</si>
  <si>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</si>
  <si>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</si>
  <si>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</si>
  <si>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</si>
  <si>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</si>
  <si>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</si>
  <si>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</si>
  <si>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</si>
  <si>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</si>
  <si>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</si>
  <si>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</si>
  <si>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>주차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</si>
  <si>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Noto Sans CJK SC"/>
        <family val="2"/>
      </rPr>
      <t>주차</t>
    </r>
  </si>
  <si>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>접수 점검표 — 김가은</t>
    </r>
  </si>
  <si>
    <t>주간 자동집계 — 김가은</t>
  </si>
  <si>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>접수 점검표 — 김보혜</t>
    </r>
  </si>
  <si>
    <t>주간 자동집계 — 김보혜</t>
  </si>
  <si>
    <r>
      <rPr>
        <sz val="10"/>
        <color rgb="FF0000FF"/>
        <rFont val="Noto Sans CJK SC"/>
        <family val="2"/>
      </rPr>
      <t>파란 업무폰 및 입금폰 교육 병행으로 인해 수신 및 접수량이 다소 낮게 나타남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교육 업무를 고려하되 일반 업무 수신 및 접수량도 함께 관리할 수 있도록 피드백</t>
    </r>
  </si>
  <si>
    <r>
      <rPr>
        <sz val="10"/>
        <color rgb="FF0000FF"/>
        <rFont val="Noto Sans CJK SC"/>
        <family val="2"/>
      </rPr>
      <t>수신량은 전주 대비 대체적으로 상승하였으나</t>
    </r>
    <r>
      <rPr>
        <sz val="10"/>
        <color rgb="FF0000FF"/>
        <rFont val="맑은 고딕"/>
        <family val="3"/>
        <charset val="129"/>
      </rPr>
      <t xml:space="preserve">, </t>
    </r>
    <r>
      <rPr>
        <sz val="10"/>
        <color rgb="FF0000FF"/>
        <rFont val="Noto Sans CJK SC"/>
        <family val="2"/>
      </rPr>
      <t>파란업무가 아직 익숙하지 않아 접수 처리 시 다소 시간이 소요되는 것으로 확인됨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파란업무 처리 과정에 대한 지속적인 업무 공유 및 피드백을 통해 처리 속도를 향상할 수 있도록 관리 예정</t>
    </r>
    <r>
      <rPr>
        <sz val="10"/>
        <color rgb="FF0000FF"/>
        <rFont val="맑은 고딕"/>
        <family val="3"/>
        <charset val="129"/>
      </rPr>
      <t>.</t>
    </r>
  </si>
  <si>
    <r>
      <rPr>
        <sz val="10"/>
        <color rgb="FF0000FF"/>
        <rFont val="Noto Sans CJK SC"/>
        <family val="2"/>
      </rPr>
      <t>전주 대비 수신량은 감소하였으며 접수량은 전주와 비슷한 수준으로 유지되었습니다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접수량은 안정적으로 유지되고 있으나 수신량이 목표에 미치지 못하고 있어 수신 응대 비중을 높일 수 있도록 관리하도록 피드백</t>
    </r>
  </si>
  <si>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>접수 점검표 — 박언정</t>
    </r>
  </si>
  <si>
    <t>주간 자동집계 — 박언정</t>
  </si>
  <si>
    <r>
      <rPr>
        <b/>
        <sz val="10"/>
        <color rgb="FF0000FF"/>
        <rFont val="맑은 고딕"/>
        <family val="3"/>
        <charset val="129"/>
      </rPr>
      <t>1</t>
    </r>
    <r>
      <rPr>
        <b/>
        <sz val="10"/>
        <color rgb="FF0000FF"/>
        <rFont val="Noto Sans CJK SC"/>
        <family val="2"/>
      </rPr>
      <t>년 미만</t>
    </r>
  </si>
  <si>
    <r>
      <rPr>
        <sz val="10"/>
        <color rgb="FF0000FF"/>
        <rFont val="Noto Sans CJK SC"/>
        <family val="2"/>
      </rPr>
      <t>주간 수신 및 접수 실적이 대체적으로 양호하게 이루어지고 있음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현재 업무량을 안정적으로 유지할 수 있도록 지속 관리</t>
    </r>
  </si>
  <si>
    <r>
      <rPr>
        <sz val="10"/>
        <color rgb="FF0000FF"/>
        <rFont val="Noto Sans CJK SC"/>
        <family val="2"/>
      </rPr>
      <t>수신 및 접수량이 안정적으로 유지되고 있으며</t>
    </r>
    <r>
      <rPr>
        <sz val="10"/>
        <color rgb="FF0000FF"/>
        <rFont val="맑은 고딕"/>
        <family val="3"/>
        <charset val="129"/>
      </rPr>
      <t xml:space="preserve">, </t>
    </r>
    <r>
      <rPr>
        <sz val="10"/>
        <color rgb="FF0000FF"/>
        <rFont val="Noto Sans CJK SC"/>
        <family val="2"/>
      </rPr>
      <t>현재 실적 수준을 지속적으로 유지할 수 있도록 관리 예정</t>
    </r>
  </si>
  <si>
    <r>
      <rPr>
        <sz val="10"/>
        <color rgb="FF0000FF"/>
        <rFont val="Noto Sans CJK SC"/>
        <family val="2"/>
      </rPr>
      <t>전주 대비 수신 및 접수량이 모두 감소하였습니다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업무량이 안정적으로 유지될 수 있도록 수신</t>
    </r>
    <r>
      <rPr>
        <sz val="10"/>
        <color rgb="FF0000FF"/>
        <rFont val="맑은 고딕"/>
        <family val="3"/>
        <charset val="129"/>
      </rPr>
      <t>·</t>
    </r>
    <r>
      <rPr>
        <sz val="10"/>
        <color rgb="FF0000FF"/>
        <rFont val="Noto Sans CJK SC"/>
        <family val="2"/>
      </rPr>
      <t>접수 실적을 지속적으로 점검 및 피드백</t>
    </r>
  </si>
  <si>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>접수 점검표 — 강아름</t>
    </r>
  </si>
  <si>
    <t>주간 자동집계 — 강아름</t>
  </si>
  <si>
    <r>
      <rPr>
        <sz val="10"/>
        <color rgb="FF0000FF"/>
        <rFont val="Noto Sans CJK SC"/>
        <family val="2"/>
      </rPr>
      <t>수신량이 목표 대비 부족하며</t>
    </r>
    <r>
      <rPr>
        <sz val="10"/>
        <color rgb="FF0000FF"/>
        <rFont val="맑은 고딕"/>
        <family val="3"/>
        <charset val="129"/>
      </rPr>
      <t xml:space="preserve">, </t>
    </r>
    <r>
      <rPr>
        <sz val="10"/>
        <color rgb="FF0000FF"/>
        <rFont val="Noto Sans CJK SC"/>
        <family val="2"/>
      </rPr>
      <t>수신량에 비해 발신량이 높은 것으로 확인됨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수신콜 응대 비중을 높이고 발신 업무와의 균형을 맞출 수 있도록 피드백</t>
    </r>
  </si>
  <si>
    <r>
      <rPr>
        <sz val="10"/>
        <color rgb="FF0000FF"/>
        <rFont val="Noto Sans CJK SC"/>
        <family val="2"/>
      </rPr>
      <t>금</t>
    </r>
    <r>
      <rPr>
        <sz val="10"/>
        <color rgb="FF0000FF"/>
        <rFont val="맑은 고딕"/>
        <family val="3"/>
        <charset val="129"/>
      </rPr>
      <t>~</t>
    </r>
    <r>
      <rPr>
        <sz val="10"/>
        <color rgb="FF0000FF"/>
        <rFont val="Noto Sans CJK SC"/>
        <family val="2"/>
      </rPr>
      <t>일요일 코로나로 인해 목소리가 나오지 않아 업무폰 및 문자 접수 위주로 업무가 진행되어 수신량은 다소 부족하였으나</t>
    </r>
    <r>
      <rPr>
        <sz val="10"/>
        <color rgb="FF0000FF"/>
        <rFont val="맑은 고딕"/>
        <family val="3"/>
        <charset val="129"/>
      </rPr>
      <t xml:space="preserve">, </t>
    </r>
    <r>
      <rPr>
        <sz val="10"/>
        <color rgb="FF0000FF"/>
        <rFont val="Noto Sans CJK SC"/>
        <family val="2"/>
      </rPr>
      <t>접수량은 목표를 달성함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정상적인 통화 업무가 가능해진 이후 수신량도 회복할 수 있도록 지속적으로 점검 예정</t>
    </r>
    <r>
      <rPr>
        <sz val="10"/>
        <color rgb="FF0000FF"/>
        <rFont val="맑은 고딕"/>
        <family val="3"/>
        <charset val="129"/>
      </rPr>
      <t>.</t>
    </r>
  </si>
  <si>
    <r>
      <rPr>
        <sz val="10"/>
        <color rgb="FF0000FF"/>
        <rFont val="Noto Sans CJK SC"/>
        <family val="2"/>
      </rPr>
      <t>전주 대비 수신량과 접수량이 모두 상승하였으며</t>
    </r>
    <r>
      <rPr>
        <sz val="10"/>
        <color rgb="FF0000FF"/>
        <rFont val="맑은 고딕"/>
        <family val="3"/>
        <charset val="129"/>
      </rPr>
      <t xml:space="preserve">, </t>
    </r>
    <r>
      <rPr>
        <sz val="10"/>
        <color rgb="FF0000FF"/>
        <rFont val="Noto Sans CJK SC"/>
        <family val="2"/>
      </rPr>
      <t>접수량은 목표를 달성하였습니다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다만 수신량은 여전히 목표에 미치지 못하고 있어 수신 응대 비중을 높일 수 있도록 발신관리 지속적으로 관리하도록 피드백</t>
    </r>
  </si>
  <si>
    <r>
      <rPr>
        <b/>
        <sz val="14"/>
        <color rgb="FF000000"/>
        <rFont val="맑은 고딕"/>
        <family val="3"/>
        <charset val="129"/>
      </rPr>
      <t>1</t>
    </r>
    <r>
      <rPr>
        <b/>
        <sz val="14"/>
        <color rgb="FF000000"/>
        <rFont val="Noto Sans CJK SC"/>
        <family val="2"/>
      </rPr>
      <t>팀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>접수 점검표 — 정민지</t>
    </r>
  </si>
  <si>
    <t>주간 자동집계 — 정민지</t>
  </si>
  <si>
    <t>입사전</t>
  </si>
  <si>
    <r>
      <rPr>
        <sz val="10"/>
        <color rgb="FF0000FF"/>
        <rFont val="Noto Sans CJK SC"/>
        <family val="2"/>
      </rPr>
      <t>수신량은 목표를 달성하며 안정적인 모습을 보였습니다</t>
    </r>
    <r>
      <rPr>
        <sz val="10"/>
        <color rgb="FF0000FF"/>
        <rFont val="맑은 고딕"/>
        <family val="3"/>
        <charset val="129"/>
      </rPr>
      <t xml:space="preserve">. </t>
    </r>
    <r>
      <rPr>
        <sz val="10"/>
        <color rgb="FF0000FF"/>
        <rFont val="Noto Sans CJK SC"/>
        <family val="2"/>
      </rPr>
      <t>초기 업무 적응을 고려하면서 접수 처리 속도와 정확도를 높일 수 있도록 지속적으로 교육 및 피드백진행</t>
    </r>
  </si>
  <si>
    <r>
      <rPr>
        <b/>
        <sz val="14"/>
        <color rgb="FF000000"/>
        <rFont val="Noto Sans CJK SC"/>
        <family val="2"/>
      </rPr>
      <t>하반기 수신</t>
    </r>
    <r>
      <rPr>
        <b/>
        <sz val="14"/>
        <color rgb="FF000000"/>
        <rFont val="맑은 고딕"/>
        <family val="3"/>
        <charset val="129"/>
      </rPr>
      <t>·</t>
    </r>
    <r>
      <rPr>
        <b/>
        <sz val="14"/>
        <color rgb="FF000000"/>
        <rFont val="Noto Sans CJK SC"/>
        <family val="2"/>
      </rPr>
      <t xml:space="preserve">접수 주간 점검 보고서 </t>
    </r>
    <r>
      <rPr>
        <b/>
        <sz val="14"/>
        <color rgb="FF000000"/>
        <rFont val="맑은 고딕"/>
        <family val="3"/>
        <charset val="129"/>
      </rPr>
      <t>(1</t>
    </r>
    <r>
      <rPr>
        <b/>
        <sz val="14"/>
        <color rgb="FF000000"/>
        <rFont val="Noto Sans CJK SC"/>
        <family val="2"/>
      </rPr>
      <t>팀</t>
    </r>
    <r>
      <rPr>
        <b/>
        <sz val="14"/>
        <color rgb="FF000000"/>
        <rFont val="맑은 고딕"/>
        <family val="3"/>
        <charset val="129"/>
      </rPr>
      <t>)</t>
    </r>
  </si>
  <si>
    <t>기간</t>
  </si>
  <si>
    <t>직원</t>
  </si>
  <si>
    <t>9/1~9/6</t>
  </si>
  <si>
    <t>이재희</t>
  </si>
  <si>
    <t>김가은</t>
  </si>
  <si>
    <t>김보혜</t>
  </si>
  <si>
    <t>박언정</t>
  </si>
  <si>
    <t>강아름</t>
  </si>
  <si>
    <t>정민지</t>
  </si>
  <si>
    <t>9/7~9/13</t>
  </si>
  <si>
    <t>9/14~9/20</t>
  </si>
  <si>
    <t>9/21~9/27</t>
  </si>
  <si>
    <t>10/7~10/13</t>
  </si>
  <si>
    <t>10/14~10/20</t>
  </si>
  <si>
    <t>10/21~10/27</t>
  </si>
  <si>
    <t>10/28~10/31</t>
  </si>
  <si>
    <t>11/1~11/6</t>
  </si>
  <si>
    <t>11/7~11/13</t>
  </si>
  <si>
    <t>11/14~11/20</t>
  </si>
  <si>
    <t>11/21~11/27</t>
  </si>
  <si>
    <t>11/28~11/30</t>
  </si>
  <si>
    <t>12/1~12/6</t>
  </si>
  <si>
    <t>12/7~12/13</t>
  </si>
  <si>
    <t>12/14~12/20</t>
  </si>
  <si>
    <t>12/21~12/27</t>
  </si>
  <si>
    <t>12/28~12/31</t>
  </si>
  <si>
    <r>
      <rPr>
        <sz val="10"/>
        <color rgb="FF000000"/>
        <rFont val="맑은 고딕"/>
        <family val="3"/>
        <charset val="129"/>
      </rPr>
      <t>출근하면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팀원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시트(이재희·김가은·김보혜·박언정·강아름·정민지)를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연다.</t>
    </r>
    <phoneticPr fontId="19" type="noConversion"/>
  </si>
  <si>
    <r>
      <rPr>
        <sz val="9"/>
        <color rgb="FF595959"/>
        <rFont val="맑은 고딕"/>
        <family val="3"/>
        <charset val="129"/>
      </rPr>
      <t>※ 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항목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자동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집계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Noto Sans CJK SC"/>
        <family val="2"/>
        <charset val="129"/>
      </rPr>
      <t>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각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팀원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시트의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입력값을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참조합니다.</t>
    </r>
    <phoneticPr fontId="19" type="noConversion"/>
  </si>
  <si>
    <t>/</t>
    <phoneticPr fontId="19" type="noConversion"/>
  </si>
  <si>
    <t>추석 연휴 영향으로 전주 대비 수신 및 접수량이 모두 감소하였습니다. 연휴에 따른 업무량 감소를 감안하여 정상 근무 시 수신 응대 비중과 접수량을 회복할 수 있도록 지속 관리하도록 피드백 하였습니다</t>
    <phoneticPr fontId="19" type="noConversion"/>
  </si>
  <si>
    <t>전주 대비 수신량은 상승하였으나 접수량은 감소하였습니다. 추석 연휴로 전체적인 업무량이 감소한 점을 감안하되, 수신량은 목표에 근접하고 있는 만큼 정상 근무 시 수신 목표 달성과 접수량 향상을 함께 관리하도록 피드백 하였습니다</t>
    <phoneticPr fontId="19" type="noConversion"/>
  </si>
  <si>
    <t>수신량은 목표 초과 달성하였으나 접수량은 감소함. 다음주부터 대표문자 교육시작으로 접수량도 같이 올릴수 있도록 피드백 하였습니다.</t>
    <phoneticPr fontId="19" type="noConversion"/>
  </si>
  <si>
    <t>추석 연휴 영향으로 전주 대비 수신 및 접수량의 감소 영향이 있었지만 업무폰 교육 종료 후 접수량이 감소한 부분을 확인하였으며, 수신량을 높여 자연스럽게 접수량도 함께 향상될 수 있도록 지속적인 응대 및 실적 관리가 필요하다는 내용으로 피드백하였습니다.</t>
    <phoneticPr fontId="19" type="noConversion"/>
  </si>
  <si>
    <t>휴무</t>
    <phoneticPr fontId="19" type="noConversion"/>
  </si>
  <si>
    <r>
      <t>9월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5주차~10월 1주차</t>
    </r>
    <phoneticPr fontId="19" type="noConversion"/>
  </si>
  <si>
    <t>9/28~10/4</t>
    <phoneticPr fontId="19" type="noConversion"/>
  </si>
  <si>
    <t>10월 2주차</t>
    <phoneticPr fontId="19" type="noConversion"/>
  </si>
  <si>
    <t>10/5~10/11</t>
    <phoneticPr fontId="19" type="noConversion"/>
  </si>
  <si>
    <r>
      <t>10월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주차</t>
    </r>
    <phoneticPr fontId="19" type="noConversion"/>
  </si>
  <si>
    <r>
      <t>10월</t>
    </r>
    <r>
      <rPr>
        <sz val="10"/>
        <color rgb="FF000000"/>
        <rFont val="Arial"/>
        <family val="2"/>
      </rPr>
      <t xml:space="preserve"> 3주차</t>
    </r>
    <r>
      <rPr>
        <sz val="10"/>
        <color rgb="FF000000"/>
        <rFont val="맑은 고딕"/>
        <family val="3"/>
        <charset val="129"/>
      </rPr>
      <t/>
    </r>
  </si>
  <si>
    <r>
      <t>10월</t>
    </r>
    <r>
      <rPr>
        <sz val="10"/>
        <color rgb="FF000000"/>
        <rFont val="Arial"/>
        <family val="2"/>
      </rPr>
      <t xml:space="preserve"> 4주차</t>
    </r>
    <r>
      <rPr>
        <sz val="10"/>
        <color rgb="FF000000"/>
        <rFont val="맑은 고딕"/>
        <family val="3"/>
        <charset val="129"/>
      </rPr>
      <t/>
    </r>
  </si>
  <si>
    <r>
      <t>10월</t>
    </r>
    <r>
      <rPr>
        <sz val="10"/>
        <color rgb="FF000000"/>
        <rFont val="Arial"/>
        <family val="2"/>
      </rPr>
      <t xml:space="preserve"> 5주차</t>
    </r>
    <r>
      <rPr>
        <sz val="10"/>
        <color rgb="FF000000"/>
        <rFont val="맑은 고딕"/>
        <family val="3"/>
        <charset val="129"/>
      </rPr>
      <t/>
    </r>
  </si>
  <si>
    <r>
      <t>9월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5주차</t>
    </r>
    <phoneticPr fontId="19" type="noConversion"/>
  </si>
  <si>
    <t>/</t>
    <phoneticPr fontId="19" type="noConversion"/>
  </si>
  <si>
    <t>복귀 초기 업무 적응 기간인 만큼 정상 근무 이후 수신·접수 실적이 안정적으로 유지될 수 있도록 피드백 하였습니다</t>
    <phoneticPr fontId="19" type="noConversion"/>
  </si>
  <si>
    <t>전주 대비 수신 및 접수량이 크게 상승하였으며 수신량은 목표를 달성하였습니다. 접수량은 아직 목표에 미달하고 있어 수신량 상승이 접수량으로 이어질 수 있도록 접수 처리 속도 및 업무 흐름을 지속적으로 관리하도록 피드백 하였습니다.</t>
    <phoneticPr fontId="19" type="noConversion"/>
  </si>
  <si>
    <t>전주 대비 수신 및 접수량이 모두 상승하여 접수량은 목표를 달성하였으나 수신량은 부족한 상황이라 수신량도 안정적으로 유지하여 목표 달성될 수 있도록 피드백 하였습니다</t>
    <phoneticPr fontId="19" type="noConversion"/>
  </si>
  <si>
    <t>전주 대비 수신량은 감소하였으나 접수량은 크게 상승하여 목표를 달성하였습니다. 접수량은 안정적인 수준을 유지하면서 수신량도 함께 향상될 수 있도록 수신 응대 비중을 높이는 방향으로 피드백하였습니다</t>
    <phoneticPr fontId="19" type="noConversion"/>
  </si>
  <si>
    <t>유사 배송지 팀장 주간 관리 현황</t>
  </si>
  <si>
    <t>해당월</t>
    <phoneticPr fontId="34" type="noConversion"/>
  </si>
  <si>
    <t>주차</t>
    <phoneticPr fontId="34" type="noConversion"/>
  </si>
  <si>
    <t>점검인원</t>
  </si>
  <si>
    <t>점검완료</t>
  </si>
  <si>
    <t>미점검</t>
  </si>
  <si>
    <t>오류 발생건</t>
  </si>
  <si>
    <t>신규 등록건</t>
    <phoneticPr fontId="34" type="noConversion"/>
  </si>
  <si>
    <t>오류내용</t>
    <phoneticPr fontId="34" type="noConversion"/>
  </si>
  <si>
    <t>피드백 및 개선사항</t>
    <phoneticPr fontId="34" type="noConversion"/>
  </si>
  <si>
    <t>9월</t>
    <phoneticPr fontId="34" type="noConversion"/>
  </si>
  <si>
    <t>1주차</t>
    <phoneticPr fontId="34" type="noConversion"/>
  </si>
  <si>
    <t>안산 온누리-&gt;인천 온누리로 접수</t>
    <phoneticPr fontId="34" type="noConversion"/>
  </si>
  <si>
    <t>안산 온누리 관련 배송지 오류 발생 건 확인 후 유사 배송지 주의 리스트에 신규 등록하고 팀원에게 공유함. 동일·유사 배송지 접수 시 상세주소까지 재확인하도록 안내하고 재발 여부를 지속 점검할 예정.</t>
    <phoneticPr fontId="34" type="noConversion"/>
  </si>
  <si>
    <t>2주차</t>
  </si>
  <si>
    <t>동국대학교 경주 -&gt; 동국대학교 일산으로 접수        전북대학교 병원 -&gt; 경북대학교 병원으로 접수</t>
    <phoneticPr fontId="34" type="noConversion"/>
  </si>
  <si>
    <t>배송지 오류 2건 발생 내용을 확인하고 해당 배송지를 유사 배송지 주의 리스트에 신규 등록함. 신규 등록된 배송지를 팀원에게 공유하고, 접수 시 병원명 및 지역명까지 정확히 확인하도록 안내함. 동일·유사 배송지 접수 시 상세주소를 재확인하는 절차를 지속적으로 점검하여 재발을 방지할 예정.</t>
    <phoneticPr fontId="34" type="noConversion"/>
  </si>
  <si>
    <t>3주차</t>
  </si>
  <si>
    <t>/</t>
    <phoneticPr fontId="34" type="noConversion"/>
  </si>
  <si>
    <t>3주차는 유사배송지 관련 오류 없이 점검을 완료하였습니다. 앞으로도 유사배송지 주의 리스트를 지속적으로 점검하고, 신규 오류 발생 시 즉시 리스트에 반영 및 팀원에게 공유하여 동일 오류가 재발하지 않도록 관리하겠습니다.</t>
    <phoneticPr fontId="34" type="noConversion"/>
  </si>
  <si>
    <t>4주차</t>
  </si>
  <si>
    <t>4주차 유사배송지 점검 결과 오류 및 신규 등록 건 없이 관리가 이루어졌습니다. 주간 점검을 지속하여 기존 주의 배송지 확인 여부를 관리할수 있도록 하겠습니다.</t>
    <phoneticPr fontId="34" type="noConversion"/>
  </si>
  <si>
    <t>5주차</t>
    <phoneticPr fontId="34" type="noConversion"/>
  </si>
  <si>
    <t>5주차도 오류 및 신규 등록 건 없이 점검을 완료하였습니다. 앞으로도 계속적인 점검을 통해 오류 개선을 할수있도록 관리하겠습니다</t>
    <phoneticPr fontId="34" type="noConversion"/>
  </si>
  <si>
    <t>5주차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</si>
</sst>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#"/>
    <numFmt numFmtId="178" formatCode="0.0%"/>
    <numFmt numFmtId="179" formatCode="mm\-dd"/>
    <numFmt numFmtId="180" formatCode="0.0"/>
  </numFmts>
  <fonts count="36">
    <font>
      <sz val="11"/>
      <color theme="1"/>
      <name val="Calibri"/>
      <family val="2"/>
      <charset val="1"/>
    </font>
    <font>
      <b/>
      <sz val="14"/>
      <color rgb="FF000000"/>
      <name val="맑은 고딕"/>
      <family val="3"/>
      <charset val="129"/>
    </font>
    <font>
      <b/>
      <sz val="14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sz val="10"/>
      <color rgb="FF595959"/>
      <name val="Noto Sans CJK SC"/>
      <family val="2"/>
    </font>
    <font>
      <b/>
      <sz val="11"/>
      <color rgb="FF1F4E7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color rgb="FF000000"/>
      <name val="Noto Sans CJK SC"/>
      <family val="2"/>
    </font>
    <font>
      <sz val="11"/>
      <color theme="1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FF"/>
      <name val="맑은 고딕"/>
      <family val="3"/>
      <charset val="129"/>
    </font>
    <font>
      <b/>
      <sz val="10"/>
      <color rgb="FF0000F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9"/>
      <color rgb="FFC00000"/>
      <name val="Noto Sans CJK SC"/>
      <family val="2"/>
    </font>
    <font>
      <b/>
      <sz val="9"/>
      <color rgb="FFC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Noto Sans CJK SC"/>
      <family val="3"/>
      <charset val="129"/>
    </font>
    <font>
      <sz val="9"/>
      <color rgb="FF595959"/>
      <name val="Arial"/>
      <family val="2"/>
    </font>
    <font>
      <sz val="9"/>
      <color rgb="FF595959"/>
      <name val="Noto Sans CJK SC"/>
      <family val="2"/>
      <charset val="129"/>
    </font>
    <font>
      <sz val="9"/>
      <color rgb="FF595959"/>
      <name val="Noto Sans CJK SC"/>
      <family val="3"/>
      <charset val="129"/>
    </font>
    <font>
      <b/>
      <sz val="10"/>
      <name val="Noto Sans CJK SC"/>
      <family val="2"/>
    </font>
    <font>
      <sz val="10"/>
      <name val="맑은 고딕"/>
      <family val="3"/>
      <charset val="129"/>
    </font>
    <font>
      <sz val="11"/>
      <name val="Calibri"/>
      <family val="2"/>
      <charset val="1"/>
    </font>
    <font>
      <sz val="12"/>
      <color rgb="FF000000"/>
      <name val="맑은 고딕"/>
      <family val="3"/>
      <charset val="129"/>
    </font>
    <font>
      <sz val="12"/>
      <color rgb="FF000000"/>
      <name val="Noto Sans CJK SC"/>
      <family val="2"/>
    </font>
    <font>
      <sz val="12"/>
      <name val="맑은 고딕"/>
      <family val="3"/>
      <charset val="129"/>
    </font>
    <font>
      <sz val="12"/>
      <color rgb="FF008000"/>
      <name val="Noto Sans CJK SC"/>
      <family val="2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EAF2F8"/>
      </patternFill>
    </fill>
    <fill>
      <patternFill patternType="solid">
        <fgColor rgb="FFFFF2CC"/>
        <bgColor rgb="FFFDEDEC"/>
      </patternFill>
    </fill>
    <fill>
      <patternFill patternType="solid">
        <fgColor rgb="FFFCE4D6"/>
        <bgColor rgb="FFFDEDEC"/>
      </patternFill>
    </fill>
    <fill>
      <patternFill patternType="solid">
        <fgColor rgb="FFEAF2F8"/>
        <bgColor rgb="FFFDEDEC"/>
      </patternFill>
    </fill>
    <fill>
      <patternFill patternType="solid">
        <fgColor rgb="FFFDEDEC"/>
        <bgColor rgb="FFFCE4D6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0" xfId="0" applyFont="1"/>
    <xf numFmtId="0" fontId="9" fillId="4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5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/>
    </xf>
    <xf numFmtId="180" fontId="26" fillId="0" borderId="1" xfId="0" applyNumberFormat="1" applyFont="1" applyBorder="1" applyAlignment="1">
      <alignment horizontal="center" vertical="center"/>
    </xf>
    <xf numFmtId="178" fontId="26" fillId="0" borderId="1" xfId="0" applyNumberFormat="1" applyFont="1" applyBorder="1" applyAlignment="1">
      <alignment horizontal="center" vertical="center"/>
    </xf>
    <xf numFmtId="0" fontId="27" fillId="0" borderId="0" xfId="0" applyFont="1"/>
    <xf numFmtId="0" fontId="2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180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vertical="center" wrapText="1"/>
    </xf>
    <xf numFmtId="0" fontId="35" fillId="0" borderId="0" xfId="0" applyFont="1"/>
    <xf numFmtId="0" fontId="32" fillId="0" borderId="0" xfId="0" applyFont="1" applyAlignment="1">
      <alignment horizontal="center"/>
    </xf>
    <xf numFmtId="0" fontId="0" fillId="0" borderId="0" xfId="0"/>
    <xf numFmtId="0" fontId="35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</cellXfs>
  <cellStyles count="1">
    <cellStyle name="표준" xfId="0" builtinId="0"/>
  </cellStyles>
  <dxfs count="81"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name val="맑은 고딕"/>
        <charset val="1"/>
      </font>
      <fill>
        <patternFill>
          <bgColor rgb="FFFFD966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name val="맑은 고딕"/>
        <charset val="1"/>
      </font>
      <fill>
        <patternFill>
          <bgColor rgb="FFFFD966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name val="맑은 고딕"/>
        <charset val="1"/>
      </font>
      <fill>
        <patternFill>
          <bgColor rgb="FFFFD966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name val="맑은 고딕"/>
        <charset val="1"/>
      </font>
      <fill>
        <patternFill>
          <bgColor rgb="FFFFD966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name val="맑은 고딕"/>
        <charset val="1"/>
      </font>
      <fill>
        <patternFill>
          <bgColor rgb="FFFFD966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sz val="10"/>
        <color rgb="FFA6A6A6"/>
        <name val="맑은 고딕"/>
        <charset val="1"/>
      </font>
    </dxf>
    <dxf>
      <font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name val="맑은 고딕"/>
        <charset val="1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DEDEC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D966"/>
      <rgbColor rgb="FFFF9900"/>
      <rgbColor rgb="FFFF6600"/>
      <rgbColor rgb="FF595959"/>
      <rgbColor rgb="FFA6A6A6"/>
      <rgbColor rgb="FF003366"/>
      <rgbColor rgb="FF339966"/>
      <rgbColor rgb="FF0061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B34"/>
  <sheetViews>
    <sheetView zoomScaleNormal="100" workbookViewId="0">
      <selection activeCell="B34" sqref="B34"/>
    </sheetView>
  </sheetViews>
  <sheetFormatPr defaultColWidth="8.7109375" defaultRowHeight="15"/>
  <cols>
    <col min="1" max="1" width="12" customWidth="1"/>
    <col min="2" max="2" width="137.28515625" customWidth="1"/>
  </cols>
  <sheetData>
    <row r="1" spans="1:2" ht="20.25">
      <c r="A1" s="2" t="s">
        <v>0</v>
      </c>
      <c r="B1" s="3"/>
    </row>
    <row r="2" spans="1:2">
      <c r="A2" s="4"/>
      <c r="B2" s="3"/>
    </row>
    <row r="3" spans="1:2">
      <c r="A3" s="5"/>
      <c r="B3" s="3"/>
    </row>
    <row r="4" spans="1:2" ht="16.5">
      <c r="A4" s="6" t="s">
        <v>1</v>
      </c>
      <c r="B4" s="3"/>
    </row>
    <row r="5" spans="1:2">
      <c r="A5" s="5" t="s">
        <v>2</v>
      </c>
      <c r="B5" s="33" t="s">
        <v>124</v>
      </c>
    </row>
    <row r="6" spans="1:2">
      <c r="A6" s="5" t="s">
        <v>3</v>
      </c>
      <c r="B6" s="7" t="s">
        <v>4</v>
      </c>
    </row>
    <row r="7" spans="1:2">
      <c r="A7" s="5" t="s">
        <v>5</v>
      </c>
      <c r="B7" s="7" t="s">
        <v>6</v>
      </c>
    </row>
    <row r="8" spans="1:2">
      <c r="A8" s="5" t="s">
        <v>7</v>
      </c>
      <c r="B8" s="7" t="s">
        <v>8</v>
      </c>
    </row>
    <row r="9" spans="1:2">
      <c r="A9" s="5" t="s">
        <v>9</v>
      </c>
      <c r="B9" s="7" t="s">
        <v>10</v>
      </c>
    </row>
    <row r="10" spans="1:2">
      <c r="A10" s="5"/>
      <c r="B10" s="3"/>
    </row>
    <row r="11" spans="1:2" ht="16.5">
      <c r="A11" s="6" t="s">
        <v>11</v>
      </c>
      <c r="B11" s="3"/>
    </row>
    <row r="12" spans="1:2">
      <c r="A12" s="5" t="s">
        <v>12</v>
      </c>
      <c r="B12" s="7" t="s">
        <v>13</v>
      </c>
    </row>
    <row r="13" spans="1:2">
      <c r="A13" s="5" t="s">
        <v>12</v>
      </c>
      <c r="B13" s="3" t="s">
        <v>14</v>
      </c>
    </row>
    <row r="14" spans="1:2">
      <c r="A14" s="5" t="s">
        <v>12</v>
      </c>
      <c r="B14" s="7" t="s">
        <v>15</v>
      </c>
    </row>
    <row r="15" spans="1:2">
      <c r="A15" s="5"/>
      <c r="B15" s="3"/>
    </row>
    <row r="16" spans="1:2" ht="16.5">
      <c r="A16" s="6" t="s">
        <v>16</v>
      </c>
      <c r="B16" s="3"/>
    </row>
    <row r="17" spans="1:2">
      <c r="A17" s="5" t="s">
        <v>12</v>
      </c>
      <c r="B17" s="7" t="s">
        <v>17</v>
      </c>
    </row>
    <row r="18" spans="1:2">
      <c r="A18" s="5" t="s">
        <v>12</v>
      </c>
      <c r="B18" s="7" t="s">
        <v>18</v>
      </c>
    </row>
    <row r="19" spans="1:2">
      <c r="A19" s="5" t="s">
        <v>12</v>
      </c>
      <c r="B19" s="7" t="s">
        <v>19</v>
      </c>
    </row>
    <row r="20" spans="1:2">
      <c r="A20" s="5" t="s">
        <v>12</v>
      </c>
      <c r="B20" s="7" t="s">
        <v>20</v>
      </c>
    </row>
    <row r="21" spans="1:2">
      <c r="A21" s="5" t="s">
        <v>12</v>
      </c>
      <c r="B21" s="7" t="s">
        <v>21</v>
      </c>
    </row>
    <row r="22" spans="1:2">
      <c r="A22" s="5" t="s">
        <v>12</v>
      </c>
      <c r="B22" s="7" t="s">
        <v>22</v>
      </c>
    </row>
    <row r="23" spans="1:2" ht="16.5">
      <c r="A23" s="6" t="s">
        <v>12</v>
      </c>
      <c r="B23" s="7" t="s">
        <v>23</v>
      </c>
    </row>
    <row r="24" spans="1:2">
      <c r="A24" s="5"/>
      <c r="B24" s="3"/>
    </row>
    <row r="25" spans="1:2">
      <c r="A25" s="5"/>
      <c r="B25" s="3"/>
    </row>
    <row r="26" spans="1:2">
      <c r="A26" s="8"/>
      <c r="B26" s="7"/>
    </row>
    <row r="27" spans="1:2">
      <c r="A27" s="8"/>
      <c r="B27" s="7"/>
    </row>
    <row r="28" spans="1:2">
      <c r="A28" s="8"/>
      <c r="B28" s="7"/>
    </row>
    <row r="29" spans="1:2">
      <c r="A29" s="8"/>
      <c r="B29" s="7"/>
    </row>
    <row r="30" spans="1:2">
      <c r="A30" s="8"/>
      <c r="B30" s="3"/>
    </row>
    <row r="31" spans="1:2">
      <c r="A31" s="9"/>
      <c r="B31" s="7"/>
    </row>
    <row r="32" spans="1:2">
      <c r="A32" s="5"/>
      <c r="B32" s="3"/>
    </row>
    <row r="33" spans="1:2">
      <c r="A33" s="5"/>
      <c r="B33" s="3"/>
    </row>
    <row r="34" spans="1:2">
      <c r="A34" s="5"/>
      <c r="B34" s="7"/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X126"/>
  <sheetViews>
    <sheetView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X10" sqref="X10"/>
    </sheetView>
  </sheetViews>
  <sheetFormatPr defaultColWidth="8.7109375" defaultRowHeight="17.25" customHeight="1"/>
  <cols>
    <col min="1" max="1" width="12" customWidth="1"/>
    <col min="2" max="2" width="6" customWidth="1"/>
    <col min="3" max="6" width="10" customWidth="1"/>
    <col min="7" max="7" width="11" customWidth="1"/>
    <col min="8" max="8" width="13" customWidth="1"/>
    <col min="9" max="9" width="10" customWidth="1"/>
    <col min="10" max="10" width="11" customWidth="1"/>
    <col min="11" max="11" width="13" customWidth="1"/>
    <col min="12" max="12" width="2" customWidth="1"/>
    <col min="13" max="13" width="11" customWidth="1"/>
    <col min="14" max="15" width="9" customWidth="1"/>
    <col min="16" max="16" width="10" customWidth="1"/>
    <col min="17" max="17" width="13" customWidth="1"/>
    <col min="18" max="18" width="11" customWidth="1"/>
    <col min="19" max="19" width="13" customWidth="1"/>
    <col min="20" max="20" width="10" customWidth="1"/>
    <col min="21" max="21" width="13" customWidth="1"/>
    <col min="22" max="22" width="11" customWidth="1"/>
    <col min="23" max="23" width="13" customWidth="1"/>
    <col min="24" max="24" width="60" customWidth="1"/>
  </cols>
  <sheetData>
    <row r="1" spans="1:24" ht="17.25" customHeight="1">
      <c r="A1" s="57" t="s">
        <v>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M1" s="58" t="s">
        <v>25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7.25" customHeight="1">
      <c r="A2" s="10" t="s">
        <v>26</v>
      </c>
      <c r="B2" s="11" t="s">
        <v>27</v>
      </c>
      <c r="C2" s="10" t="s">
        <v>28</v>
      </c>
      <c r="D2" s="11">
        <v>50</v>
      </c>
      <c r="E2" s="10" t="s">
        <v>29</v>
      </c>
      <c r="F2" s="11">
        <v>65</v>
      </c>
      <c r="G2" s="12"/>
      <c r="H2" s="59"/>
      <c r="I2" s="59"/>
      <c r="J2" s="59"/>
      <c r="K2" s="59"/>
    </row>
    <row r="3" spans="1:24" ht="17.25" customHeight="1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s="60" t="s">
        <v>31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7.25" customHeight="1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28</v>
      </c>
      <c r="G4" s="10" t="s">
        <v>37</v>
      </c>
      <c r="H4" s="10" t="s">
        <v>38</v>
      </c>
      <c r="I4" s="10" t="s">
        <v>29</v>
      </c>
      <c r="J4" s="10" t="s">
        <v>39</v>
      </c>
      <c r="K4" s="10" t="s">
        <v>40</v>
      </c>
      <c r="M4" s="13" t="s">
        <v>41</v>
      </c>
      <c r="N4" s="13" t="s">
        <v>42</v>
      </c>
      <c r="O4" s="13" t="s">
        <v>43</v>
      </c>
      <c r="P4" s="13" t="s">
        <v>28</v>
      </c>
      <c r="Q4" s="13" t="s">
        <v>44</v>
      </c>
      <c r="R4" s="13" t="s">
        <v>37</v>
      </c>
      <c r="S4" s="13" t="s">
        <v>38</v>
      </c>
      <c r="T4" s="13" t="s">
        <v>29</v>
      </c>
      <c r="U4" s="13" t="s">
        <v>45</v>
      </c>
      <c r="V4" s="13" t="s">
        <v>39</v>
      </c>
      <c r="W4" s="13" t="s">
        <v>40</v>
      </c>
      <c r="X4" s="13" t="s">
        <v>46</v>
      </c>
    </row>
    <row r="5" spans="1:24" ht="17.25" customHeight="1">
      <c r="A5" s="14">
        <v>46266</v>
      </c>
      <c r="B5" s="15" t="s">
        <v>47</v>
      </c>
      <c r="C5" s="16">
        <v>21</v>
      </c>
      <c r="D5" s="16">
        <v>69</v>
      </c>
      <c r="E5" s="16"/>
      <c r="F5" s="17">
        <f t="shared" ref="F5:F36" si="0">IF(OR($E5="오전반차",$E5="오후반차"),$D$2/2,$D$2)</f>
        <v>50</v>
      </c>
      <c r="G5" s="18">
        <f t="shared" ref="G5:G36" si="1">IF($C5="","",$C5/$F5)</f>
        <v>0.42</v>
      </c>
      <c r="H5" s="15" t="str">
        <f t="shared" ref="H5:H36" si="2">IF($C5="",IF($E5="","미입력",$E5),IF($C5&gt;=$F5,"달성","미달"))</f>
        <v>미달</v>
      </c>
      <c r="I5" s="17">
        <f t="shared" ref="I5:I36" si="3">IF(OR($E5="오전반차",$E5="오후반차"),$F$2/2,$F$2)</f>
        <v>65</v>
      </c>
      <c r="J5" s="18">
        <f t="shared" ref="J5:J36" si="4">IF($D5="","",$D5/$I5)</f>
        <v>1.0615384615384615</v>
      </c>
      <c r="K5" s="15" t="str">
        <f t="shared" ref="K5:K36" si="5">IF($D5="",IF($E5="","미입력",$E5),IF($D5&gt;=$I5,"달성","미달"))</f>
        <v>달성</v>
      </c>
      <c r="M5" s="1" t="s">
        <v>48</v>
      </c>
      <c r="N5" s="19">
        <v>46266</v>
      </c>
      <c r="O5" s="19">
        <v>46271</v>
      </c>
      <c r="P5" s="17">
        <f t="shared" ref="P5:P24" si="6">IFERROR(SUMPRODUCT(($A$5:$A$126&gt;=$N5)*($A$5:$A$126&lt;=$O5)*ISNUMBER($C$5:$C$126)*$F$5:$F$126)/SUMPRODUCT(($A$5:$A$126&gt;=$N5)*($A$5:$A$126&lt;=$O5)*ISNUMBER($C$5:$C$126)),"")</f>
        <v>50</v>
      </c>
      <c r="Q5" s="20">
        <f t="shared" ref="Q5:Q24" si="7">IFERROR(AVERAGEIFS($C$5:$C$126,$A$5:$A$126,"&gt;="&amp;$N5,$A$5:$A$126,"&lt;="&amp;$O5),"")</f>
        <v>37</v>
      </c>
      <c r="R5" s="18">
        <f t="shared" ref="R5:R24" si="8">IF(OR($Q5="",$P5=""),"",$Q5/$P5)</f>
        <v>0.74</v>
      </c>
      <c r="S5" s="15" t="str">
        <f t="shared" ref="S5:S24" si="9">IF(OR($Q5="",$P5=""),"미입력",IF($Q5&gt;=$P5,"달성","미달"))</f>
        <v>미달</v>
      </c>
      <c r="T5" s="17">
        <f t="shared" ref="T5:T24" si="10">IFERROR(SUMPRODUCT(($A$5:$A$126&gt;=$N5)*($A$5:$A$126&lt;=$O5)*ISNUMBER($D$5:$D$126)*$I$5:$I$126)/SUMPRODUCT(($A$5:$A$126&gt;=$N5)*($A$5:$A$126&lt;=$O5)*ISNUMBER($D$5:$D$126)),"")</f>
        <v>65</v>
      </c>
      <c r="U5" s="20">
        <f t="shared" ref="U5:U24" si="11">IFERROR(AVERAGEIFS($D$5:$D$126,$A$5:$A$126,"&gt;="&amp;$N5,$A$5:$A$126,"&lt;="&amp;$O5),"")</f>
        <v>62.2</v>
      </c>
      <c r="V5" s="18">
        <f t="shared" ref="V5:V24" si="12">IF(OR($U5="",$T5=""),"",$U5/$T5)</f>
        <v>0.95692307692307699</v>
      </c>
      <c r="W5" s="15" t="str">
        <f t="shared" ref="W5:W24" si="13">IF(OR($U5="",$T5=""),"미입력",IF($U5&gt;=$T5,"달성","미달"))</f>
        <v>미달</v>
      </c>
      <c r="X5" s="21" t="s">
        <v>126</v>
      </c>
    </row>
    <row r="6" spans="1:24" ht="17.25" customHeight="1">
      <c r="A6" s="14">
        <v>46267</v>
      </c>
      <c r="B6" s="15" t="s">
        <v>49</v>
      </c>
      <c r="C6" s="16">
        <v>31</v>
      </c>
      <c r="D6" s="16">
        <v>52</v>
      </c>
      <c r="E6" s="16"/>
      <c r="F6" s="17">
        <f t="shared" si="0"/>
        <v>50</v>
      </c>
      <c r="G6" s="18">
        <f t="shared" si="1"/>
        <v>0.62</v>
      </c>
      <c r="H6" s="15" t="str">
        <f t="shared" si="2"/>
        <v>미달</v>
      </c>
      <c r="I6" s="17">
        <f t="shared" si="3"/>
        <v>65</v>
      </c>
      <c r="J6" s="18">
        <f t="shared" si="4"/>
        <v>0.8</v>
      </c>
      <c r="K6" s="15" t="str">
        <f t="shared" si="5"/>
        <v>미달</v>
      </c>
      <c r="M6" s="1" t="s">
        <v>50</v>
      </c>
      <c r="N6" s="19">
        <v>46272</v>
      </c>
      <c r="O6" s="19">
        <v>46278</v>
      </c>
      <c r="P6" s="17">
        <f t="shared" si="6"/>
        <v>50</v>
      </c>
      <c r="Q6" s="20">
        <f t="shared" si="7"/>
        <v>41.8</v>
      </c>
      <c r="R6" s="18">
        <f t="shared" si="8"/>
        <v>0.83599999999999997</v>
      </c>
      <c r="S6" s="15" t="str">
        <f t="shared" si="9"/>
        <v>미달</v>
      </c>
      <c r="T6" s="17">
        <f t="shared" si="10"/>
        <v>65</v>
      </c>
      <c r="U6" s="20">
        <f t="shared" si="11"/>
        <v>54</v>
      </c>
      <c r="V6" s="18">
        <f t="shared" si="12"/>
        <v>0.83076923076923082</v>
      </c>
      <c r="W6" s="15" t="str">
        <f t="shared" si="13"/>
        <v>미달</v>
      </c>
      <c r="X6" s="21" t="s">
        <v>126</v>
      </c>
    </row>
    <row r="7" spans="1:24" ht="17.25" customHeight="1">
      <c r="A7" s="14">
        <v>46268</v>
      </c>
      <c r="B7" s="15" t="s">
        <v>51</v>
      </c>
      <c r="C7" s="16"/>
      <c r="D7" s="16"/>
      <c r="E7" s="22" t="s">
        <v>52</v>
      </c>
      <c r="F7" s="17">
        <f t="shared" si="0"/>
        <v>50</v>
      </c>
      <c r="G7" s="18" t="str">
        <f t="shared" si="1"/>
        <v/>
      </c>
      <c r="H7" s="15" t="str">
        <f t="shared" si="2"/>
        <v>휴무</v>
      </c>
      <c r="I7" s="17">
        <f t="shared" si="3"/>
        <v>65</v>
      </c>
      <c r="J7" s="18" t="str">
        <f t="shared" si="4"/>
        <v/>
      </c>
      <c r="K7" s="15" t="str">
        <f t="shared" si="5"/>
        <v>휴무</v>
      </c>
      <c r="M7" s="1" t="s">
        <v>53</v>
      </c>
      <c r="N7" s="19">
        <v>46279</v>
      </c>
      <c r="O7" s="19">
        <v>46285</v>
      </c>
      <c r="P7" s="17">
        <f t="shared" si="6"/>
        <v>50</v>
      </c>
      <c r="Q7" s="20">
        <f t="shared" si="7"/>
        <v>30.5</v>
      </c>
      <c r="R7" s="18">
        <f t="shared" si="8"/>
        <v>0.61</v>
      </c>
      <c r="S7" s="15" t="str">
        <f t="shared" si="9"/>
        <v>미달</v>
      </c>
      <c r="T7" s="17">
        <f t="shared" si="10"/>
        <v>65</v>
      </c>
      <c r="U7" s="20">
        <f t="shared" si="11"/>
        <v>57.333333333333336</v>
      </c>
      <c r="V7" s="18">
        <f t="shared" si="12"/>
        <v>0.88205128205128214</v>
      </c>
      <c r="W7" s="15" t="str">
        <f t="shared" si="13"/>
        <v>미달</v>
      </c>
      <c r="X7" s="21" t="s">
        <v>126</v>
      </c>
    </row>
    <row r="8" spans="1:24" ht="17.25" customHeight="1">
      <c r="A8" s="14">
        <v>46269</v>
      </c>
      <c r="B8" s="15" t="s">
        <v>54</v>
      </c>
      <c r="C8" s="16">
        <v>73</v>
      </c>
      <c r="D8" s="16">
        <v>122</v>
      </c>
      <c r="E8" s="16"/>
      <c r="F8" s="17">
        <f t="shared" si="0"/>
        <v>50</v>
      </c>
      <c r="G8" s="18">
        <f t="shared" si="1"/>
        <v>1.46</v>
      </c>
      <c r="H8" s="15" t="str">
        <f t="shared" si="2"/>
        <v>달성</v>
      </c>
      <c r="I8" s="17">
        <f t="shared" si="3"/>
        <v>65</v>
      </c>
      <c r="J8" s="18">
        <f t="shared" si="4"/>
        <v>1.8769230769230769</v>
      </c>
      <c r="K8" s="15" t="str">
        <f t="shared" si="5"/>
        <v>달성</v>
      </c>
      <c r="M8" s="1" t="s">
        <v>55</v>
      </c>
      <c r="N8" s="19">
        <v>46286</v>
      </c>
      <c r="O8" s="19">
        <v>46292</v>
      </c>
      <c r="P8" s="17">
        <f t="shared" si="6"/>
        <v>50</v>
      </c>
      <c r="Q8" s="20">
        <f t="shared" si="7"/>
        <v>17.399999999999999</v>
      </c>
      <c r="R8" s="18">
        <f t="shared" si="8"/>
        <v>0.34799999999999998</v>
      </c>
      <c r="S8" s="15" t="str">
        <f t="shared" si="9"/>
        <v>미달</v>
      </c>
      <c r="T8" s="17">
        <f t="shared" si="10"/>
        <v>65</v>
      </c>
      <c r="U8" s="20">
        <f t="shared" si="11"/>
        <v>32.4</v>
      </c>
      <c r="V8" s="18">
        <f t="shared" si="12"/>
        <v>0.49846153846153846</v>
      </c>
      <c r="W8" s="15" t="str">
        <f t="shared" si="13"/>
        <v>미달</v>
      </c>
      <c r="X8" s="21" t="s">
        <v>126</v>
      </c>
    </row>
    <row r="9" spans="1:24" ht="17.25" customHeight="1">
      <c r="A9" s="23">
        <v>46270</v>
      </c>
      <c r="B9" s="24" t="s">
        <v>56</v>
      </c>
      <c r="C9" s="16">
        <v>24</v>
      </c>
      <c r="D9" s="16">
        <v>33</v>
      </c>
      <c r="E9" s="16"/>
      <c r="F9" s="25">
        <f t="shared" si="0"/>
        <v>50</v>
      </c>
      <c r="G9" s="26">
        <f t="shared" si="1"/>
        <v>0.48</v>
      </c>
      <c r="H9" s="24" t="str">
        <f t="shared" si="2"/>
        <v>미달</v>
      </c>
      <c r="I9" s="25">
        <f t="shared" si="3"/>
        <v>65</v>
      </c>
      <c r="J9" s="26">
        <f t="shared" si="4"/>
        <v>0.50769230769230766</v>
      </c>
      <c r="K9" s="24" t="str">
        <f t="shared" si="5"/>
        <v>미달</v>
      </c>
      <c r="M9" s="1" t="s">
        <v>57</v>
      </c>
      <c r="N9" s="19">
        <v>46293</v>
      </c>
      <c r="O9" s="19">
        <v>46299</v>
      </c>
      <c r="P9" s="17">
        <f t="shared" si="6"/>
        <v>50</v>
      </c>
      <c r="Q9" s="20">
        <f t="shared" si="7"/>
        <v>27.75</v>
      </c>
      <c r="R9" s="18">
        <f t="shared" si="8"/>
        <v>0.55500000000000005</v>
      </c>
      <c r="S9" s="15" t="str">
        <f t="shared" si="9"/>
        <v>미달</v>
      </c>
      <c r="T9" s="17">
        <f t="shared" si="10"/>
        <v>65</v>
      </c>
      <c r="U9" s="20">
        <f t="shared" si="11"/>
        <v>43</v>
      </c>
      <c r="V9" s="18">
        <f t="shared" si="12"/>
        <v>0.66153846153846152</v>
      </c>
      <c r="W9" s="15" t="str">
        <f t="shared" si="13"/>
        <v>미달</v>
      </c>
      <c r="X9" s="21" t="s">
        <v>141</v>
      </c>
    </row>
    <row r="10" spans="1:24" ht="17.25" customHeight="1">
      <c r="A10" s="27">
        <v>46271</v>
      </c>
      <c r="B10" s="28" t="s">
        <v>58</v>
      </c>
      <c r="C10" s="16">
        <v>36</v>
      </c>
      <c r="D10" s="16">
        <v>35</v>
      </c>
      <c r="E10" s="16"/>
      <c r="F10" s="29">
        <f t="shared" si="0"/>
        <v>50</v>
      </c>
      <c r="G10" s="30">
        <f t="shared" si="1"/>
        <v>0.72</v>
      </c>
      <c r="H10" s="28" t="str">
        <f t="shared" si="2"/>
        <v>미달</v>
      </c>
      <c r="I10" s="29">
        <f t="shared" si="3"/>
        <v>65</v>
      </c>
      <c r="J10" s="30">
        <f t="shared" si="4"/>
        <v>0.53846153846153844</v>
      </c>
      <c r="K10" s="28" t="str">
        <f t="shared" si="5"/>
        <v>미달</v>
      </c>
      <c r="M10" s="1" t="s">
        <v>136</v>
      </c>
      <c r="N10" s="19">
        <v>46300</v>
      </c>
      <c r="O10" s="19">
        <v>46306</v>
      </c>
      <c r="P10" s="17" t="str">
        <f t="shared" si="6"/>
        <v/>
      </c>
      <c r="Q10" s="20" t="str">
        <f t="shared" si="7"/>
        <v/>
      </c>
      <c r="R10" s="18" t="str">
        <f t="shared" si="8"/>
        <v/>
      </c>
      <c r="S10" s="15" t="str">
        <f t="shared" si="9"/>
        <v>미입력</v>
      </c>
      <c r="T10" s="17" t="str">
        <f t="shared" si="10"/>
        <v/>
      </c>
      <c r="U10" s="20" t="str">
        <f t="shared" si="11"/>
        <v/>
      </c>
      <c r="V10" s="18" t="str">
        <f t="shared" si="12"/>
        <v/>
      </c>
      <c r="W10" s="15" t="str">
        <f t="shared" si="13"/>
        <v>미입력</v>
      </c>
      <c r="X10" s="21"/>
    </row>
    <row r="11" spans="1:24" ht="17.25" customHeight="1">
      <c r="A11" s="14">
        <v>46272</v>
      </c>
      <c r="B11" s="15" t="s">
        <v>60</v>
      </c>
      <c r="C11" s="16"/>
      <c r="D11" s="16"/>
      <c r="E11" s="22" t="s">
        <v>52</v>
      </c>
      <c r="F11" s="17">
        <f t="shared" si="0"/>
        <v>50</v>
      </c>
      <c r="G11" s="18" t="str">
        <f t="shared" si="1"/>
        <v/>
      </c>
      <c r="H11" s="15" t="str">
        <f t="shared" si="2"/>
        <v>휴무</v>
      </c>
      <c r="I11" s="17">
        <f t="shared" si="3"/>
        <v>65</v>
      </c>
      <c r="J11" s="18" t="str">
        <f t="shared" si="4"/>
        <v/>
      </c>
      <c r="K11" s="15" t="str">
        <f t="shared" si="5"/>
        <v>휴무</v>
      </c>
      <c r="M11" s="1" t="s">
        <v>137</v>
      </c>
      <c r="N11" s="19">
        <v>46302</v>
      </c>
      <c r="O11" s="19">
        <v>46308</v>
      </c>
      <c r="P11" s="17" t="str">
        <f t="shared" si="6"/>
        <v/>
      </c>
      <c r="Q11" s="20" t="str">
        <f t="shared" si="7"/>
        <v/>
      </c>
      <c r="R11" s="18" t="str">
        <f t="shared" si="8"/>
        <v/>
      </c>
      <c r="S11" s="15" t="str">
        <f t="shared" si="9"/>
        <v>미입력</v>
      </c>
      <c r="T11" s="17" t="str">
        <f t="shared" si="10"/>
        <v/>
      </c>
      <c r="U11" s="20" t="str">
        <f t="shared" si="11"/>
        <v/>
      </c>
      <c r="V11" s="18" t="str">
        <f t="shared" si="12"/>
        <v/>
      </c>
      <c r="W11" s="15" t="str">
        <f t="shared" si="13"/>
        <v>미입력</v>
      </c>
      <c r="X11" s="21"/>
    </row>
    <row r="12" spans="1:24" ht="17.25" customHeight="1">
      <c r="A12" s="14">
        <v>46273</v>
      </c>
      <c r="B12" s="15" t="s">
        <v>47</v>
      </c>
      <c r="C12" s="16">
        <v>45</v>
      </c>
      <c r="D12" s="16">
        <v>54</v>
      </c>
      <c r="E12" s="16"/>
      <c r="F12" s="17">
        <f t="shared" si="0"/>
        <v>50</v>
      </c>
      <c r="G12" s="18">
        <f t="shared" si="1"/>
        <v>0.9</v>
      </c>
      <c r="H12" s="15" t="str">
        <f t="shared" si="2"/>
        <v>미달</v>
      </c>
      <c r="I12" s="17">
        <f t="shared" si="3"/>
        <v>65</v>
      </c>
      <c r="J12" s="18">
        <f t="shared" si="4"/>
        <v>0.83076923076923082</v>
      </c>
      <c r="K12" s="15" t="str">
        <f t="shared" si="5"/>
        <v>미달</v>
      </c>
      <c r="M12" s="1" t="s">
        <v>138</v>
      </c>
      <c r="N12" s="19">
        <v>46309</v>
      </c>
      <c r="O12" s="19">
        <v>46315</v>
      </c>
      <c r="P12" s="17" t="str">
        <f t="shared" si="6"/>
        <v/>
      </c>
      <c r="Q12" s="20" t="str">
        <f t="shared" si="7"/>
        <v/>
      </c>
      <c r="R12" s="18" t="str">
        <f t="shared" si="8"/>
        <v/>
      </c>
      <c r="S12" s="15" t="str">
        <f t="shared" si="9"/>
        <v>미입력</v>
      </c>
      <c r="T12" s="17" t="str">
        <f t="shared" si="10"/>
        <v/>
      </c>
      <c r="U12" s="20" t="str">
        <f t="shared" si="11"/>
        <v/>
      </c>
      <c r="V12" s="18" t="str">
        <f t="shared" si="12"/>
        <v/>
      </c>
      <c r="W12" s="15" t="str">
        <f t="shared" si="13"/>
        <v>미입력</v>
      </c>
      <c r="X12" s="21"/>
    </row>
    <row r="13" spans="1:24" ht="17.25" customHeight="1">
      <c r="A13" s="14">
        <v>46274</v>
      </c>
      <c r="B13" s="15" t="s">
        <v>49</v>
      </c>
      <c r="C13" s="16">
        <v>37</v>
      </c>
      <c r="D13" s="16">
        <v>47</v>
      </c>
      <c r="E13" s="16"/>
      <c r="F13" s="17">
        <f t="shared" si="0"/>
        <v>50</v>
      </c>
      <c r="G13" s="18">
        <f t="shared" si="1"/>
        <v>0.74</v>
      </c>
      <c r="H13" s="15" t="str">
        <f t="shared" si="2"/>
        <v>미달</v>
      </c>
      <c r="I13" s="17">
        <f t="shared" si="3"/>
        <v>65</v>
      </c>
      <c r="J13" s="18">
        <f t="shared" si="4"/>
        <v>0.72307692307692306</v>
      </c>
      <c r="K13" s="15" t="str">
        <f t="shared" si="5"/>
        <v>미달</v>
      </c>
      <c r="M13" s="1" t="s">
        <v>139</v>
      </c>
      <c r="N13" s="19">
        <v>46316</v>
      </c>
      <c r="O13" s="19">
        <v>46322</v>
      </c>
      <c r="P13" s="17" t="str">
        <f t="shared" si="6"/>
        <v/>
      </c>
      <c r="Q13" s="20" t="str">
        <f t="shared" si="7"/>
        <v/>
      </c>
      <c r="R13" s="18" t="str">
        <f t="shared" si="8"/>
        <v/>
      </c>
      <c r="S13" s="15" t="str">
        <f t="shared" si="9"/>
        <v>미입력</v>
      </c>
      <c r="T13" s="17" t="str">
        <f t="shared" si="10"/>
        <v/>
      </c>
      <c r="U13" s="20" t="str">
        <f t="shared" si="11"/>
        <v/>
      </c>
      <c r="V13" s="18" t="str">
        <f t="shared" si="12"/>
        <v/>
      </c>
      <c r="W13" s="15" t="str">
        <f t="shared" si="13"/>
        <v>미입력</v>
      </c>
      <c r="X13" s="21"/>
    </row>
    <row r="14" spans="1:24" ht="17.25" customHeight="1">
      <c r="A14" s="14">
        <v>46275</v>
      </c>
      <c r="B14" s="15" t="s">
        <v>51</v>
      </c>
      <c r="C14" s="16">
        <v>20</v>
      </c>
      <c r="D14" s="16">
        <v>49</v>
      </c>
      <c r="E14" s="16"/>
      <c r="F14" s="17">
        <f t="shared" si="0"/>
        <v>50</v>
      </c>
      <c r="G14" s="18">
        <f t="shared" si="1"/>
        <v>0.4</v>
      </c>
      <c r="H14" s="15" t="str">
        <f t="shared" si="2"/>
        <v>미달</v>
      </c>
      <c r="I14" s="17">
        <f t="shared" si="3"/>
        <v>65</v>
      </c>
      <c r="J14" s="18">
        <f t="shared" si="4"/>
        <v>0.75384615384615383</v>
      </c>
      <c r="K14" s="15" t="str">
        <f t="shared" si="5"/>
        <v>미달</v>
      </c>
      <c r="M14" s="1"/>
      <c r="N14" s="19">
        <v>46323</v>
      </c>
      <c r="O14" s="19">
        <v>46326</v>
      </c>
      <c r="P14" s="17" t="str">
        <f t="shared" si="6"/>
        <v/>
      </c>
      <c r="Q14" s="20" t="str">
        <f t="shared" si="7"/>
        <v/>
      </c>
      <c r="R14" s="18" t="str">
        <f t="shared" si="8"/>
        <v/>
      </c>
      <c r="S14" s="15" t="str">
        <f t="shared" si="9"/>
        <v>미입력</v>
      </c>
      <c r="T14" s="17" t="str">
        <f t="shared" si="10"/>
        <v/>
      </c>
      <c r="U14" s="20" t="str">
        <f t="shared" si="11"/>
        <v/>
      </c>
      <c r="V14" s="18" t="str">
        <f t="shared" si="12"/>
        <v/>
      </c>
      <c r="W14" s="15" t="str">
        <f t="shared" si="13"/>
        <v>미입력</v>
      </c>
      <c r="X14" s="21"/>
    </row>
    <row r="15" spans="1:24" ht="17.25" customHeight="1">
      <c r="A15" s="14">
        <v>46276</v>
      </c>
      <c r="B15" s="15" t="s">
        <v>54</v>
      </c>
      <c r="C15" s="16">
        <v>54</v>
      </c>
      <c r="D15" s="16">
        <v>74</v>
      </c>
      <c r="E15" s="16"/>
      <c r="F15" s="17">
        <f t="shared" si="0"/>
        <v>50</v>
      </c>
      <c r="G15" s="18">
        <f t="shared" si="1"/>
        <v>1.08</v>
      </c>
      <c r="H15" s="15" t="str">
        <f t="shared" si="2"/>
        <v>달성</v>
      </c>
      <c r="I15" s="17">
        <f t="shared" si="3"/>
        <v>65</v>
      </c>
      <c r="J15" s="18">
        <f t="shared" si="4"/>
        <v>1.1384615384615384</v>
      </c>
      <c r="K15" s="15" t="str">
        <f t="shared" si="5"/>
        <v>달성</v>
      </c>
      <c r="M15" s="1" t="s">
        <v>65</v>
      </c>
      <c r="N15" s="19">
        <v>46327</v>
      </c>
      <c r="O15" s="19">
        <v>46332</v>
      </c>
      <c r="P15" s="17" t="str">
        <f t="shared" si="6"/>
        <v/>
      </c>
      <c r="Q15" s="20" t="str">
        <f t="shared" si="7"/>
        <v/>
      </c>
      <c r="R15" s="18" t="str">
        <f t="shared" si="8"/>
        <v/>
      </c>
      <c r="S15" s="15" t="str">
        <f t="shared" si="9"/>
        <v>미입력</v>
      </c>
      <c r="T15" s="17" t="str">
        <f t="shared" si="10"/>
        <v/>
      </c>
      <c r="U15" s="20" t="str">
        <f t="shared" si="11"/>
        <v/>
      </c>
      <c r="V15" s="18" t="str">
        <f t="shared" si="12"/>
        <v/>
      </c>
      <c r="W15" s="15" t="str">
        <f t="shared" si="13"/>
        <v>미입력</v>
      </c>
      <c r="X15" s="21"/>
    </row>
    <row r="16" spans="1:24" ht="17.25" customHeight="1">
      <c r="A16" s="23">
        <v>46277</v>
      </c>
      <c r="B16" s="24" t="s">
        <v>56</v>
      </c>
      <c r="C16" s="16">
        <v>53</v>
      </c>
      <c r="D16" s="16">
        <v>46</v>
      </c>
      <c r="E16" s="16"/>
      <c r="F16" s="25">
        <f t="shared" si="0"/>
        <v>50</v>
      </c>
      <c r="G16" s="26">
        <f t="shared" si="1"/>
        <v>1.06</v>
      </c>
      <c r="H16" s="24" t="str">
        <f t="shared" si="2"/>
        <v>달성</v>
      </c>
      <c r="I16" s="25">
        <f t="shared" si="3"/>
        <v>65</v>
      </c>
      <c r="J16" s="26">
        <f t="shared" si="4"/>
        <v>0.70769230769230773</v>
      </c>
      <c r="K16" s="24" t="str">
        <f t="shared" si="5"/>
        <v>미달</v>
      </c>
      <c r="M16" s="1" t="s">
        <v>66</v>
      </c>
      <c r="N16" s="19">
        <v>46333</v>
      </c>
      <c r="O16" s="19">
        <v>46339</v>
      </c>
      <c r="P16" s="17" t="str">
        <f t="shared" si="6"/>
        <v/>
      </c>
      <c r="Q16" s="20" t="str">
        <f t="shared" si="7"/>
        <v/>
      </c>
      <c r="R16" s="18" t="str">
        <f t="shared" si="8"/>
        <v/>
      </c>
      <c r="S16" s="15" t="str">
        <f t="shared" si="9"/>
        <v>미입력</v>
      </c>
      <c r="T16" s="17" t="str">
        <f t="shared" si="10"/>
        <v/>
      </c>
      <c r="U16" s="20" t="str">
        <f t="shared" si="11"/>
        <v/>
      </c>
      <c r="V16" s="18" t="str">
        <f t="shared" si="12"/>
        <v/>
      </c>
      <c r="W16" s="15" t="str">
        <f t="shared" si="13"/>
        <v>미입력</v>
      </c>
      <c r="X16" s="21"/>
    </row>
    <row r="17" spans="1:24" ht="17.25" customHeight="1">
      <c r="A17" s="27">
        <v>46278</v>
      </c>
      <c r="B17" s="28" t="s">
        <v>58</v>
      </c>
      <c r="C17" s="16"/>
      <c r="D17" s="16"/>
      <c r="E17" s="22" t="s">
        <v>52</v>
      </c>
      <c r="F17" s="29">
        <f t="shared" si="0"/>
        <v>50</v>
      </c>
      <c r="G17" s="30" t="str">
        <f t="shared" si="1"/>
        <v/>
      </c>
      <c r="H17" s="28" t="str">
        <f t="shared" si="2"/>
        <v>휴무</v>
      </c>
      <c r="I17" s="29">
        <f t="shared" si="3"/>
        <v>65</v>
      </c>
      <c r="J17" s="30" t="str">
        <f t="shared" si="4"/>
        <v/>
      </c>
      <c r="K17" s="28" t="str">
        <f t="shared" si="5"/>
        <v>휴무</v>
      </c>
      <c r="M17" s="1" t="s">
        <v>67</v>
      </c>
      <c r="N17" s="19">
        <v>46340</v>
      </c>
      <c r="O17" s="19">
        <v>46346</v>
      </c>
      <c r="P17" s="17" t="str">
        <f t="shared" si="6"/>
        <v/>
      </c>
      <c r="Q17" s="20" t="str">
        <f t="shared" si="7"/>
        <v/>
      </c>
      <c r="R17" s="18" t="str">
        <f t="shared" si="8"/>
        <v/>
      </c>
      <c r="S17" s="15" t="str">
        <f t="shared" si="9"/>
        <v>미입력</v>
      </c>
      <c r="T17" s="17" t="str">
        <f t="shared" si="10"/>
        <v/>
      </c>
      <c r="U17" s="20" t="str">
        <f t="shared" si="11"/>
        <v/>
      </c>
      <c r="V17" s="18" t="str">
        <f t="shared" si="12"/>
        <v/>
      </c>
      <c r="W17" s="15" t="str">
        <f t="shared" si="13"/>
        <v>미입력</v>
      </c>
      <c r="X17" s="21"/>
    </row>
    <row r="18" spans="1:24" ht="17.25" customHeight="1">
      <c r="A18" s="14">
        <v>46279</v>
      </c>
      <c r="B18" s="15" t="s">
        <v>60</v>
      </c>
      <c r="C18" s="16">
        <v>26</v>
      </c>
      <c r="D18" s="16">
        <v>73</v>
      </c>
      <c r="E18" s="16"/>
      <c r="F18" s="17">
        <f t="shared" si="0"/>
        <v>50</v>
      </c>
      <c r="G18" s="18">
        <f t="shared" si="1"/>
        <v>0.52</v>
      </c>
      <c r="H18" s="15" t="str">
        <f t="shared" si="2"/>
        <v>미달</v>
      </c>
      <c r="I18" s="17">
        <f t="shared" si="3"/>
        <v>65</v>
      </c>
      <c r="J18" s="18">
        <f t="shared" si="4"/>
        <v>1.1230769230769231</v>
      </c>
      <c r="K18" s="15" t="str">
        <f t="shared" si="5"/>
        <v>달성</v>
      </c>
      <c r="M18" s="1" t="s">
        <v>68</v>
      </c>
      <c r="N18" s="19">
        <v>46347</v>
      </c>
      <c r="O18" s="19">
        <v>46353</v>
      </c>
      <c r="P18" s="17" t="str">
        <f t="shared" si="6"/>
        <v/>
      </c>
      <c r="Q18" s="20" t="str">
        <f t="shared" si="7"/>
        <v/>
      </c>
      <c r="R18" s="18" t="str">
        <f t="shared" si="8"/>
        <v/>
      </c>
      <c r="S18" s="15" t="str">
        <f t="shared" si="9"/>
        <v>미입력</v>
      </c>
      <c r="T18" s="17" t="str">
        <f t="shared" si="10"/>
        <v/>
      </c>
      <c r="U18" s="20" t="str">
        <f t="shared" si="11"/>
        <v/>
      </c>
      <c r="V18" s="18" t="str">
        <f t="shared" si="12"/>
        <v/>
      </c>
      <c r="W18" s="15" t="str">
        <f t="shared" si="13"/>
        <v>미입력</v>
      </c>
      <c r="X18" s="21"/>
    </row>
    <row r="19" spans="1:24" ht="17.25" customHeight="1">
      <c r="A19" s="14">
        <v>46280</v>
      </c>
      <c r="B19" s="15" t="s">
        <v>47</v>
      </c>
      <c r="C19" s="16">
        <v>20</v>
      </c>
      <c r="D19" s="16">
        <v>30</v>
      </c>
      <c r="E19" s="16"/>
      <c r="F19" s="17">
        <f t="shared" si="0"/>
        <v>50</v>
      </c>
      <c r="G19" s="18">
        <f t="shared" si="1"/>
        <v>0.4</v>
      </c>
      <c r="H19" s="15" t="str">
        <f t="shared" si="2"/>
        <v>미달</v>
      </c>
      <c r="I19" s="17">
        <f t="shared" si="3"/>
        <v>65</v>
      </c>
      <c r="J19" s="18">
        <f t="shared" si="4"/>
        <v>0.46153846153846156</v>
      </c>
      <c r="K19" s="15" t="str">
        <f t="shared" si="5"/>
        <v>미달</v>
      </c>
      <c r="M19" s="1" t="s">
        <v>69</v>
      </c>
      <c r="N19" s="19">
        <v>46354</v>
      </c>
      <c r="O19" s="19">
        <v>46356</v>
      </c>
      <c r="P19" s="17" t="str">
        <f t="shared" si="6"/>
        <v/>
      </c>
      <c r="Q19" s="20" t="str">
        <f t="shared" si="7"/>
        <v/>
      </c>
      <c r="R19" s="18" t="str">
        <f t="shared" si="8"/>
        <v/>
      </c>
      <c r="S19" s="15" t="str">
        <f t="shared" si="9"/>
        <v>미입력</v>
      </c>
      <c r="T19" s="17" t="str">
        <f t="shared" si="10"/>
        <v/>
      </c>
      <c r="U19" s="20" t="str">
        <f t="shared" si="11"/>
        <v/>
      </c>
      <c r="V19" s="18" t="str">
        <f t="shared" si="12"/>
        <v/>
      </c>
      <c r="W19" s="15" t="str">
        <f t="shared" si="13"/>
        <v>미입력</v>
      </c>
      <c r="X19" s="21"/>
    </row>
    <row r="20" spans="1:24" ht="17.25" customHeight="1">
      <c r="A20" s="14">
        <v>46281</v>
      </c>
      <c r="B20" s="15" t="s">
        <v>49</v>
      </c>
      <c r="C20" s="16">
        <v>34</v>
      </c>
      <c r="D20" s="16">
        <v>72</v>
      </c>
      <c r="E20" s="16"/>
      <c r="F20" s="17">
        <f t="shared" si="0"/>
        <v>50</v>
      </c>
      <c r="G20" s="18">
        <f t="shared" si="1"/>
        <v>0.68</v>
      </c>
      <c r="H20" s="15" t="str">
        <f t="shared" si="2"/>
        <v>미달</v>
      </c>
      <c r="I20" s="17">
        <f t="shared" si="3"/>
        <v>65</v>
      </c>
      <c r="J20" s="18">
        <f t="shared" si="4"/>
        <v>1.1076923076923078</v>
      </c>
      <c r="K20" s="15" t="str">
        <f t="shared" si="5"/>
        <v>달성</v>
      </c>
      <c r="M20" s="1" t="s">
        <v>70</v>
      </c>
      <c r="N20" s="19">
        <v>46357</v>
      </c>
      <c r="O20" s="19">
        <v>46362</v>
      </c>
      <c r="P20" s="17" t="str">
        <f t="shared" si="6"/>
        <v/>
      </c>
      <c r="Q20" s="20" t="str">
        <f t="shared" si="7"/>
        <v/>
      </c>
      <c r="R20" s="18" t="str">
        <f t="shared" si="8"/>
        <v/>
      </c>
      <c r="S20" s="15" t="str">
        <f t="shared" si="9"/>
        <v>미입력</v>
      </c>
      <c r="T20" s="17" t="str">
        <f t="shared" si="10"/>
        <v/>
      </c>
      <c r="U20" s="20" t="str">
        <f t="shared" si="11"/>
        <v/>
      </c>
      <c r="V20" s="18" t="str">
        <f t="shared" si="12"/>
        <v/>
      </c>
      <c r="W20" s="15" t="str">
        <f t="shared" si="13"/>
        <v>미입력</v>
      </c>
      <c r="X20" s="21"/>
    </row>
    <row r="21" spans="1:24" ht="17.25" customHeight="1">
      <c r="A21" s="14">
        <v>46282</v>
      </c>
      <c r="B21" s="15" t="s">
        <v>51</v>
      </c>
      <c r="C21" s="16">
        <v>24</v>
      </c>
      <c r="D21" s="16">
        <v>44</v>
      </c>
      <c r="E21" s="16"/>
      <c r="F21" s="17">
        <f t="shared" si="0"/>
        <v>50</v>
      </c>
      <c r="G21" s="18">
        <f t="shared" si="1"/>
        <v>0.48</v>
      </c>
      <c r="H21" s="15" t="str">
        <f t="shared" si="2"/>
        <v>미달</v>
      </c>
      <c r="I21" s="17">
        <f t="shared" si="3"/>
        <v>65</v>
      </c>
      <c r="J21" s="18">
        <f t="shared" si="4"/>
        <v>0.67692307692307696</v>
      </c>
      <c r="K21" s="15" t="str">
        <f t="shared" si="5"/>
        <v>미달</v>
      </c>
      <c r="M21" s="1" t="s">
        <v>71</v>
      </c>
      <c r="N21" s="19">
        <v>46363</v>
      </c>
      <c r="O21" s="19">
        <v>46369</v>
      </c>
      <c r="P21" s="17" t="str">
        <f t="shared" si="6"/>
        <v/>
      </c>
      <c r="Q21" s="20" t="str">
        <f t="shared" si="7"/>
        <v/>
      </c>
      <c r="R21" s="18" t="str">
        <f t="shared" si="8"/>
        <v/>
      </c>
      <c r="S21" s="15" t="str">
        <f t="shared" si="9"/>
        <v>미입력</v>
      </c>
      <c r="T21" s="17" t="str">
        <f t="shared" si="10"/>
        <v/>
      </c>
      <c r="U21" s="20" t="str">
        <f t="shared" si="11"/>
        <v/>
      </c>
      <c r="V21" s="18" t="str">
        <f t="shared" si="12"/>
        <v/>
      </c>
      <c r="W21" s="15" t="str">
        <f t="shared" si="13"/>
        <v>미입력</v>
      </c>
      <c r="X21" s="21"/>
    </row>
    <row r="22" spans="1:24" ht="17.25" customHeight="1">
      <c r="A22" s="14">
        <v>46283</v>
      </c>
      <c r="B22" s="15" t="s">
        <v>54</v>
      </c>
      <c r="C22" s="16">
        <v>45</v>
      </c>
      <c r="D22" s="16">
        <v>87</v>
      </c>
      <c r="E22" s="16"/>
      <c r="F22" s="17">
        <f t="shared" si="0"/>
        <v>50</v>
      </c>
      <c r="G22" s="18">
        <f t="shared" si="1"/>
        <v>0.9</v>
      </c>
      <c r="H22" s="15" t="str">
        <f t="shared" si="2"/>
        <v>미달</v>
      </c>
      <c r="I22" s="17">
        <f t="shared" si="3"/>
        <v>65</v>
      </c>
      <c r="J22" s="18">
        <f t="shared" si="4"/>
        <v>1.3384615384615384</v>
      </c>
      <c r="K22" s="15" t="str">
        <f t="shared" si="5"/>
        <v>달성</v>
      </c>
      <c r="M22" s="1" t="s">
        <v>72</v>
      </c>
      <c r="N22" s="19">
        <v>46370</v>
      </c>
      <c r="O22" s="19">
        <v>46376</v>
      </c>
      <c r="P22" s="17" t="str">
        <f t="shared" si="6"/>
        <v/>
      </c>
      <c r="Q22" s="20" t="str">
        <f t="shared" si="7"/>
        <v/>
      </c>
      <c r="R22" s="18" t="str">
        <f t="shared" si="8"/>
        <v/>
      </c>
      <c r="S22" s="15" t="str">
        <f t="shared" si="9"/>
        <v>미입력</v>
      </c>
      <c r="T22" s="17" t="str">
        <f t="shared" si="10"/>
        <v/>
      </c>
      <c r="U22" s="20" t="str">
        <f t="shared" si="11"/>
        <v/>
      </c>
      <c r="V22" s="18" t="str">
        <f t="shared" si="12"/>
        <v/>
      </c>
      <c r="W22" s="15" t="str">
        <f t="shared" si="13"/>
        <v>미입력</v>
      </c>
      <c r="X22" s="21"/>
    </row>
    <row r="23" spans="1:24" ht="17.25" customHeight="1">
      <c r="A23" s="23">
        <v>46284</v>
      </c>
      <c r="B23" s="24" t="s">
        <v>56</v>
      </c>
      <c r="C23" s="16"/>
      <c r="D23" s="16"/>
      <c r="E23" s="22" t="s">
        <v>52</v>
      </c>
      <c r="F23" s="25">
        <f t="shared" si="0"/>
        <v>50</v>
      </c>
      <c r="G23" s="26" t="str">
        <f t="shared" si="1"/>
        <v/>
      </c>
      <c r="H23" s="24" t="str">
        <f t="shared" si="2"/>
        <v>휴무</v>
      </c>
      <c r="I23" s="25">
        <f t="shared" si="3"/>
        <v>65</v>
      </c>
      <c r="J23" s="26" t="str">
        <f t="shared" si="4"/>
        <v/>
      </c>
      <c r="K23" s="24" t="str">
        <f t="shared" si="5"/>
        <v>휴무</v>
      </c>
      <c r="M23" s="1" t="s">
        <v>73</v>
      </c>
      <c r="N23" s="19">
        <v>46377</v>
      </c>
      <c r="O23" s="19">
        <v>46383</v>
      </c>
      <c r="P23" s="17" t="str">
        <f t="shared" si="6"/>
        <v/>
      </c>
      <c r="Q23" s="20" t="str">
        <f t="shared" si="7"/>
        <v/>
      </c>
      <c r="R23" s="18" t="str">
        <f t="shared" si="8"/>
        <v/>
      </c>
      <c r="S23" s="15" t="str">
        <f t="shared" si="9"/>
        <v>미입력</v>
      </c>
      <c r="T23" s="17" t="str">
        <f t="shared" si="10"/>
        <v/>
      </c>
      <c r="U23" s="20" t="str">
        <f t="shared" si="11"/>
        <v/>
      </c>
      <c r="V23" s="18" t="str">
        <f t="shared" si="12"/>
        <v/>
      </c>
      <c r="W23" s="15" t="str">
        <f t="shared" si="13"/>
        <v>미입력</v>
      </c>
      <c r="X23" s="21"/>
    </row>
    <row r="24" spans="1:24" ht="17.25" customHeight="1">
      <c r="A24" s="27">
        <v>46285</v>
      </c>
      <c r="B24" s="28" t="s">
        <v>58</v>
      </c>
      <c r="C24" s="16">
        <v>34</v>
      </c>
      <c r="D24" s="16">
        <v>38</v>
      </c>
      <c r="E24" s="16"/>
      <c r="F24" s="29">
        <f t="shared" si="0"/>
        <v>50</v>
      </c>
      <c r="G24" s="30">
        <f t="shared" si="1"/>
        <v>0.68</v>
      </c>
      <c r="H24" s="28" t="str">
        <f t="shared" si="2"/>
        <v>미달</v>
      </c>
      <c r="I24" s="29">
        <f t="shared" si="3"/>
        <v>65</v>
      </c>
      <c r="J24" s="30">
        <f t="shared" si="4"/>
        <v>0.58461538461538465</v>
      </c>
      <c r="K24" s="28" t="str">
        <f t="shared" si="5"/>
        <v>미달</v>
      </c>
      <c r="M24" s="1" t="s">
        <v>74</v>
      </c>
      <c r="N24" s="19">
        <v>46384</v>
      </c>
      <c r="O24" s="19">
        <v>46387</v>
      </c>
      <c r="P24" s="17" t="str">
        <f t="shared" si="6"/>
        <v/>
      </c>
      <c r="Q24" s="20" t="str">
        <f t="shared" si="7"/>
        <v/>
      </c>
      <c r="R24" s="18" t="str">
        <f t="shared" si="8"/>
        <v/>
      </c>
      <c r="S24" s="15" t="str">
        <f t="shared" si="9"/>
        <v>미입력</v>
      </c>
      <c r="T24" s="17" t="str">
        <f t="shared" si="10"/>
        <v/>
      </c>
      <c r="U24" s="20" t="str">
        <f t="shared" si="11"/>
        <v/>
      </c>
      <c r="V24" s="18" t="str">
        <f t="shared" si="12"/>
        <v/>
      </c>
      <c r="W24" s="15" t="str">
        <f t="shared" si="13"/>
        <v>미입력</v>
      </c>
      <c r="X24" s="21"/>
    </row>
    <row r="25" spans="1:24" ht="17.25" customHeight="1">
      <c r="A25" s="14">
        <v>46286</v>
      </c>
      <c r="B25" s="15" t="s">
        <v>60</v>
      </c>
      <c r="C25" s="16">
        <v>21</v>
      </c>
      <c r="D25" s="16">
        <v>35</v>
      </c>
      <c r="E25" s="16"/>
      <c r="F25" s="17">
        <f t="shared" si="0"/>
        <v>50</v>
      </c>
      <c r="G25" s="18">
        <f t="shared" si="1"/>
        <v>0.42</v>
      </c>
      <c r="H25" s="15" t="str">
        <f t="shared" si="2"/>
        <v>미달</v>
      </c>
      <c r="I25" s="17">
        <f t="shared" si="3"/>
        <v>65</v>
      </c>
      <c r="J25" s="18">
        <f t="shared" si="4"/>
        <v>0.53846153846153844</v>
      </c>
      <c r="K25" s="15" t="str">
        <f t="shared" si="5"/>
        <v>미달</v>
      </c>
    </row>
    <row r="26" spans="1:24" ht="17.25" customHeight="1">
      <c r="A26" s="14">
        <v>46287</v>
      </c>
      <c r="B26" s="15" t="s">
        <v>47</v>
      </c>
      <c r="C26" s="16">
        <v>13</v>
      </c>
      <c r="D26" s="16">
        <v>27</v>
      </c>
      <c r="E26" s="16"/>
      <c r="F26" s="17">
        <f t="shared" si="0"/>
        <v>50</v>
      </c>
      <c r="G26" s="18">
        <f t="shared" si="1"/>
        <v>0.26</v>
      </c>
      <c r="H26" s="15" t="str">
        <f t="shared" si="2"/>
        <v>미달</v>
      </c>
      <c r="I26" s="17">
        <f t="shared" si="3"/>
        <v>65</v>
      </c>
      <c r="J26" s="18">
        <f t="shared" si="4"/>
        <v>0.41538461538461541</v>
      </c>
      <c r="K26" s="15" t="str">
        <f t="shared" si="5"/>
        <v>미달</v>
      </c>
    </row>
    <row r="27" spans="1:24" ht="17.25" customHeight="1">
      <c r="A27" s="14">
        <v>46288</v>
      </c>
      <c r="B27" s="15" t="s">
        <v>49</v>
      </c>
      <c r="C27" s="16">
        <v>12</v>
      </c>
      <c r="D27" s="16">
        <v>18</v>
      </c>
      <c r="E27" s="16"/>
      <c r="F27" s="17">
        <f t="shared" si="0"/>
        <v>50</v>
      </c>
      <c r="G27" s="18">
        <f t="shared" si="1"/>
        <v>0.24</v>
      </c>
      <c r="H27" s="15" t="str">
        <f t="shared" si="2"/>
        <v>미달</v>
      </c>
      <c r="I27" s="17">
        <f t="shared" si="3"/>
        <v>65</v>
      </c>
      <c r="J27" s="18">
        <f t="shared" si="4"/>
        <v>0.27692307692307694</v>
      </c>
      <c r="K27" s="15" t="str">
        <f t="shared" si="5"/>
        <v>미달</v>
      </c>
    </row>
    <row r="28" spans="1:24" ht="17.25" customHeight="1">
      <c r="A28" s="14">
        <v>46289</v>
      </c>
      <c r="B28" s="15" t="s">
        <v>51</v>
      </c>
      <c r="C28" s="16"/>
      <c r="D28" s="16"/>
      <c r="E28" s="22" t="s">
        <v>52</v>
      </c>
      <c r="F28" s="17">
        <f t="shared" si="0"/>
        <v>50</v>
      </c>
      <c r="G28" s="18" t="str">
        <f t="shared" si="1"/>
        <v/>
      </c>
      <c r="H28" s="15" t="str">
        <f t="shared" si="2"/>
        <v>휴무</v>
      </c>
      <c r="I28" s="17">
        <f t="shared" si="3"/>
        <v>65</v>
      </c>
      <c r="J28" s="18" t="str">
        <f t="shared" si="4"/>
        <v/>
      </c>
      <c r="K28" s="15" t="str">
        <f t="shared" si="5"/>
        <v>휴무</v>
      </c>
    </row>
    <row r="29" spans="1:24" ht="17.25" customHeight="1">
      <c r="A29" s="14">
        <v>46290</v>
      </c>
      <c r="B29" s="15" t="s">
        <v>54</v>
      </c>
      <c r="C29" s="16">
        <v>16</v>
      </c>
      <c r="D29" s="16">
        <v>39</v>
      </c>
      <c r="E29" s="16"/>
      <c r="F29" s="17">
        <f t="shared" si="0"/>
        <v>50</v>
      </c>
      <c r="G29" s="18">
        <f t="shared" si="1"/>
        <v>0.32</v>
      </c>
      <c r="H29" s="15" t="str">
        <f t="shared" si="2"/>
        <v>미달</v>
      </c>
      <c r="I29" s="17">
        <f t="shared" si="3"/>
        <v>65</v>
      </c>
      <c r="J29" s="18">
        <f t="shared" si="4"/>
        <v>0.6</v>
      </c>
      <c r="K29" s="15" t="str">
        <f t="shared" si="5"/>
        <v>미달</v>
      </c>
    </row>
    <row r="30" spans="1:24" ht="17.25" customHeight="1">
      <c r="A30" s="23">
        <v>46291</v>
      </c>
      <c r="B30" s="24" t="s">
        <v>56</v>
      </c>
      <c r="C30" s="16">
        <v>25</v>
      </c>
      <c r="D30" s="16">
        <v>43</v>
      </c>
      <c r="E30" s="16"/>
      <c r="F30" s="25">
        <f t="shared" si="0"/>
        <v>50</v>
      </c>
      <c r="G30" s="26">
        <f t="shared" si="1"/>
        <v>0.5</v>
      </c>
      <c r="H30" s="24" t="str">
        <f t="shared" si="2"/>
        <v>미달</v>
      </c>
      <c r="I30" s="25">
        <f t="shared" si="3"/>
        <v>65</v>
      </c>
      <c r="J30" s="26">
        <f t="shared" si="4"/>
        <v>0.66153846153846152</v>
      </c>
      <c r="K30" s="24" t="str">
        <f t="shared" si="5"/>
        <v>미달</v>
      </c>
    </row>
    <row r="31" spans="1:24" ht="17.25" customHeight="1">
      <c r="A31" s="27">
        <v>46292</v>
      </c>
      <c r="B31" s="28" t="s">
        <v>58</v>
      </c>
      <c r="C31" s="16"/>
      <c r="D31" s="16"/>
      <c r="E31" s="22" t="s">
        <v>52</v>
      </c>
      <c r="F31" s="29">
        <f t="shared" si="0"/>
        <v>50</v>
      </c>
      <c r="G31" s="30" t="str">
        <f t="shared" si="1"/>
        <v/>
      </c>
      <c r="H31" s="28" t="str">
        <f t="shared" si="2"/>
        <v>휴무</v>
      </c>
      <c r="I31" s="29">
        <f t="shared" si="3"/>
        <v>65</v>
      </c>
      <c r="J31" s="30" t="str">
        <f t="shared" si="4"/>
        <v/>
      </c>
      <c r="K31" s="28" t="str">
        <f t="shared" si="5"/>
        <v>휴무</v>
      </c>
    </row>
    <row r="32" spans="1:24" ht="17.25" customHeight="1">
      <c r="A32" s="14">
        <v>46293</v>
      </c>
      <c r="B32" s="15" t="s">
        <v>60</v>
      </c>
      <c r="C32" s="16"/>
      <c r="D32" s="16"/>
      <c r="E32" s="22" t="s">
        <v>52</v>
      </c>
      <c r="F32" s="17">
        <f t="shared" si="0"/>
        <v>50</v>
      </c>
      <c r="G32" s="18" t="str">
        <f t="shared" si="1"/>
        <v/>
      </c>
      <c r="H32" s="15" t="str">
        <f t="shared" si="2"/>
        <v>휴무</v>
      </c>
      <c r="I32" s="17">
        <f t="shared" si="3"/>
        <v>65</v>
      </c>
      <c r="J32" s="18" t="str">
        <f t="shared" si="4"/>
        <v/>
      </c>
      <c r="K32" s="15" t="str">
        <f t="shared" si="5"/>
        <v>휴무</v>
      </c>
    </row>
    <row r="33" spans="1:11" ht="17.25" customHeight="1">
      <c r="A33" s="14">
        <v>46294</v>
      </c>
      <c r="B33" s="15" t="s">
        <v>47</v>
      </c>
      <c r="C33" s="16">
        <v>33</v>
      </c>
      <c r="D33" s="16">
        <v>32</v>
      </c>
      <c r="E33" s="16"/>
      <c r="F33" s="17">
        <f t="shared" si="0"/>
        <v>50</v>
      </c>
      <c r="G33" s="18">
        <f t="shared" si="1"/>
        <v>0.66</v>
      </c>
      <c r="H33" s="15" t="str">
        <f t="shared" si="2"/>
        <v>미달</v>
      </c>
      <c r="I33" s="17">
        <f t="shared" si="3"/>
        <v>65</v>
      </c>
      <c r="J33" s="18">
        <f t="shared" si="4"/>
        <v>0.49230769230769234</v>
      </c>
      <c r="K33" s="15" t="str">
        <f t="shared" si="5"/>
        <v>미달</v>
      </c>
    </row>
    <row r="34" spans="1:11" ht="17.25" customHeight="1">
      <c r="A34" s="14">
        <v>46295</v>
      </c>
      <c r="B34" s="15" t="s">
        <v>49</v>
      </c>
      <c r="C34" s="16">
        <v>21</v>
      </c>
      <c r="D34" s="16">
        <v>42</v>
      </c>
      <c r="E34" s="16"/>
      <c r="F34" s="17">
        <f t="shared" si="0"/>
        <v>50</v>
      </c>
      <c r="G34" s="18">
        <f t="shared" si="1"/>
        <v>0.42</v>
      </c>
      <c r="H34" s="15" t="str">
        <f t="shared" si="2"/>
        <v>미달</v>
      </c>
      <c r="I34" s="17">
        <f t="shared" si="3"/>
        <v>65</v>
      </c>
      <c r="J34" s="18">
        <f t="shared" si="4"/>
        <v>0.64615384615384619</v>
      </c>
      <c r="K34" s="15" t="str">
        <f t="shared" si="5"/>
        <v>미달</v>
      </c>
    </row>
    <row r="35" spans="1:11" ht="17.25" customHeight="1">
      <c r="A35" s="14">
        <v>46296</v>
      </c>
      <c r="B35" s="15" t="s">
        <v>51</v>
      </c>
      <c r="C35" s="16">
        <v>24</v>
      </c>
      <c r="D35" s="16">
        <v>34</v>
      </c>
      <c r="E35" s="16"/>
      <c r="F35" s="17">
        <f t="shared" si="0"/>
        <v>50</v>
      </c>
      <c r="G35" s="18">
        <f t="shared" si="1"/>
        <v>0.48</v>
      </c>
      <c r="H35" s="15" t="str">
        <f t="shared" si="2"/>
        <v>미달</v>
      </c>
      <c r="I35" s="17">
        <f t="shared" si="3"/>
        <v>65</v>
      </c>
      <c r="J35" s="18">
        <f t="shared" si="4"/>
        <v>0.52307692307692311</v>
      </c>
      <c r="K35" s="15" t="str">
        <f t="shared" si="5"/>
        <v>미달</v>
      </c>
    </row>
    <row r="36" spans="1:11" ht="17.25" customHeight="1">
      <c r="A36" s="14">
        <v>46297</v>
      </c>
      <c r="B36" s="15" t="s">
        <v>54</v>
      </c>
      <c r="C36" s="16">
        <v>33</v>
      </c>
      <c r="D36" s="16">
        <v>64</v>
      </c>
      <c r="E36" s="16"/>
      <c r="F36" s="17">
        <f t="shared" si="0"/>
        <v>50</v>
      </c>
      <c r="G36" s="18">
        <f t="shared" si="1"/>
        <v>0.66</v>
      </c>
      <c r="H36" s="15" t="str">
        <f t="shared" si="2"/>
        <v>미달</v>
      </c>
      <c r="I36" s="17">
        <f t="shared" si="3"/>
        <v>65</v>
      </c>
      <c r="J36" s="18">
        <f t="shared" si="4"/>
        <v>0.98461538461538467</v>
      </c>
      <c r="K36" s="15" t="str">
        <f t="shared" si="5"/>
        <v>미달</v>
      </c>
    </row>
    <row r="37" spans="1:11" ht="17.25" customHeight="1">
      <c r="A37" s="23">
        <v>46298</v>
      </c>
      <c r="B37" s="24" t="s">
        <v>56</v>
      </c>
      <c r="C37" s="16"/>
      <c r="D37" s="16"/>
      <c r="E37" s="22" t="s">
        <v>52</v>
      </c>
      <c r="F37" s="25">
        <f t="shared" ref="F37:F68" si="14">IF(OR($E37="오전반차",$E37="오후반차"),$D$2/2,$D$2)</f>
        <v>50</v>
      </c>
      <c r="G37" s="26" t="str">
        <f t="shared" ref="G37:G68" si="15">IF($C37="","",$C37/$F37)</f>
        <v/>
      </c>
      <c r="H37" s="24" t="str">
        <f t="shared" ref="H37:H68" si="16">IF($C37="",IF($E37="","미입력",$E37),IF($C37&gt;=$F37,"달성","미달"))</f>
        <v>휴무</v>
      </c>
      <c r="I37" s="25">
        <f t="shared" ref="I37:I68" si="17">IF(OR($E37="오전반차",$E37="오후반차"),$F$2/2,$F$2)</f>
        <v>65</v>
      </c>
      <c r="J37" s="26" t="str">
        <f t="shared" ref="J37:J68" si="18">IF($D37="","",$D37/$I37)</f>
        <v/>
      </c>
      <c r="K37" s="24" t="str">
        <f t="shared" ref="K37:K68" si="19">IF($D37="",IF($E37="","미입력",$E37),IF($D37&gt;=$I37,"달성","미달"))</f>
        <v>휴무</v>
      </c>
    </row>
    <row r="38" spans="1:11" ht="17.25" customHeight="1">
      <c r="A38" s="27">
        <v>46299</v>
      </c>
      <c r="B38" s="28" t="s">
        <v>58</v>
      </c>
      <c r="C38" s="16"/>
      <c r="D38" s="16"/>
      <c r="E38" s="16" t="s">
        <v>131</v>
      </c>
      <c r="F38" s="29">
        <f t="shared" si="14"/>
        <v>50</v>
      </c>
      <c r="G38" s="30" t="str">
        <f t="shared" si="15"/>
        <v/>
      </c>
      <c r="H38" s="28" t="str">
        <f t="shared" si="16"/>
        <v>휴무</v>
      </c>
      <c r="I38" s="29">
        <f t="shared" si="17"/>
        <v>65</v>
      </c>
      <c r="J38" s="30" t="str">
        <f t="shared" si="18"/>
        <v/>
      </c>
      <c r="K38" s="28" t="str">
        <f t="shared" si="19"/>
        <v>휴무</v>
      </c>
    </row>
    <row r="39" spans="1:11" ht="17.25" customHeight="1">
      <c r="A39" s="14">
        <v>46300</v>
      </c>
      <c r="B39" s="15" t="s">
        <v>60</v>
      </c>
      <c r="C39" s="16"/>
      <c r="D39" s="16"/>
      <c r="E39" s="16"/>
      <c r="F39" s="17">
        <f t="shared" si="14"/>
        <v>50</v>
      </c>
      <c r="G39" s="18" t="str">
        <f t="shared" si="15"/>
        <v/>
      </c>
      <c r="H39" s="15" t="str">
        <f t="shared" si="16"/>
        <v>미입력</v>
      </c>
      <c r="I39" s="17">
        <f t="shared" si="17"/>
        <v>65</v>
      </c>
      <c r="J39" s="18" t="str">
        <f t="shared" si="18"/>
        <v/>
      </c>
      <c r="K39" s="15" t="str">
        <f t="shared" si="19"/>
        <v>미입력</v>
      </c>
    </row>
    <row r="40" spans="1:11" ht="17.25" customHeight="1">
      <c r="A40" s="14">
        <v>46301</v>
      </c>
      <c r="B40" s="15" t="s">
        <v>47</v>
      </c>
      <c r="C40" s="16"/>
      <c r="D40" s="16"/>
      <c r="E40" s="16"/>
      <c r="F40" s="17">
        <f t="shared" si="14"/>
        <v>50</v>
      </c>
      <c r="G40" s="18" t="str">
        <f t="shared" si="15"/>
        <v/>
      </c>
      <c r="H40" s="15" t="str">
        <f t="shared" si="16"/>
        <v>미입력</v>
      </c>
      <c r="I40" s="17">
        <f t="shared" si="17"/>
        <v>65</v>
      </c>
      <c r="J40" s="18" t="str">
        <f t="shared" si="18"/>
        <v/>
      </c>
      <c r="K40" s="15" t="str">
        <f t="shared" si="19"/>
        <v>미입력</v>
      </c>
    </row>
    <row r="41" spans="1:11" ht="17.25" customHeight="1">
      <c r="A41" s="14">
        <v>46302</v>
      </c>
      <c r="B41" s="15" t="s">
        <v>49</v>
      </c>
      <c r="C41" s="16"/>
      <c r="D41" s="16"/>
      <c r="E41" s="16"/>
      <c r="F41" s="17">
        <f t="shared" si="14"/>
        <v>50</v>
      </c>
      <c r="G41" s="18" t="str">
        <f t="shared" si="15"/>
        <v/>
      </c>
      <c r="H41" s="15" t="str">
        <f t="shared" si="16"/>
        <v>미입력</v>
      </c>
      <c r="I41" s="17">
        <f t="shared" si="17"/>
        <v>65</v>
      </c>
      <c r="J41" s="18" t="str">
        <f t="shared" si="18"/>
        <v/>
      </c>
      <c r="K41" s="15" t="str">
        <f t="shared" si="19"/>
        <v>미입력</v>
      </c>
    </row>
    <row r="42" spans="1:11" ht="17.25" customHeight="1">
      <c r="A42" s="14">
        <v>46303</v>
      </c>
      <c r="B42" s="15" t="s">
        <v>51</v>
      </c>
      <c r="C42" s="16"/>
      <c r="D42" s="16"/>
      <c r="E42" s="16"/>
      <c r="F42" s="17">
        <f t="shared" si="14"/>
        <v>50</v>
      </c>
      <c r="G42" s="18" t="str">
        <f t="shared" si="15"/>
        <v/>
      </c>
      <c r="H42" s="15" t="str">
        <f t="shared" si="16"/>
        <v>미입력</v>
      </c>
      <c r="I42" s="17">
        <f t="shared" si="17"/>
        <v>65</v>
      </c>
      <c r="J42" s="18" t="str">
        <f t="shared" si="18"/>
        <v/>
      </c>
      <c r="K42" s="15" t="str">
        <f t="shared" si="19"/>
        <v>미입력</v>
      </c>
    </row>
    <row r="43" spans="1:11" ht="17.25" customHeight="1">
      <c r="A43" s="14">
        <v>46304</v>
      </c>
      <c r="B43" s="15" t="s">
        <v>54</v>
      </c>
      <c r="C43" s="16"/>
      <c r="D43" s="16"/>
      <c r="E43" s="16"/>
      <c r="F43" s="17">
        <f t="shared" si="14"/>
        <v>50</v>
      </c>
      <c r="G43" s="18" t="str">
        <f t="shared" si="15"/>
        <v/>
      </c>
      <c r="H43" s="15" t="str">
        <f t="shared" si="16"/>
        <v>미입력</v>
      </c>
      <c r="I43" s="17">
        <f t="shared" si="17"/>
        <v>65</v>
      </c>
      <c r="J43" s="18" t="str">
        <f t="shared" si="18"/>
        <v/>
      </c>
      <c r="K43" s="15" t="str">
        <f t="shared" si="19"/>
        <v>미입력</v>
      </c>
    </row>
    <row r="44" spans="1:11" ht="17.25" customHeight="1">
      <c r="A44" s="23">
        <v>46305</v>
      </c>
      <c r="B44" s="24" t="s">
        <v>56</v>
      </c>
      <c r="C44" s="16"/>
      <c r="D44" s="16"/>
      <c r="E44" s="16"/>
      <c r="F44" s="25">
        <f t="shared" si="14"/>
        <v>50</v>
      </c>
      <c r="G44" s="26" t="str">
        <f t="shared" si="15"/>
        <v/>
      </c>
      <c r="H44" s="24" t="str">
        <f t="shared" si="16"/>
        <v>미입력</v>
      </c>
      <c r="I44" s="25">
        <f t="shared" si="17"/>
        <v>65</v>
      </c>
      <c r="J44" s="26" t="str">
        <f t="shared" si="18"/>
        <v/>
      </c>
      <c r="K44" s="24" t="str">
        <f t="shared" si="19"/>
        <v>미입력</v>
      </c>
    </row>
    <row r="45" spans="1:11" ht="17.25" customHeight="1">
      <c r="A45" s="27">
        <v>46306</v>
      </c>
      <c r="B45" s="28" t="s">
        <v>58</v>
      </c>
      <c r="C45" s="16"/>
      <c r="D45" s="16"/>
      <c r="E45" s="16"/>
      <c r="F45" s="29">
        <f t="shared" si="14"/>
        <v>50</v>
      </c>
      <c r="G45" s="30" t="str">
        <f t="shared" si="15"/>
        <v/>
      </c>
      <c r="H45" s="28" t="str">
        <f t="shared" si="16"/>
        <v>미입력</v>
      </c>
      <c r="I45" s="29">
        <f t="shared" si="17"/>
        <v>65</v>
      </c>
      <c r="J45" s="30" t="str">
        <f t="shared" si="18"/>
        <v/>
      </c>
      <c r="K45" s="28" t="str">
        <f t="shared" si="19"/>
        <v>미입력</v>
      </c>
    </row>
    <row r="46" spans="1:11" ht="17.25" customHeight="1">
      <c r="A46" s="14">
        <v>46307</v>
      </c>
      <c r="B46" s="15" t="s">
        <v>60</v>
      </c>
      <c r="C46" s="16"/>
      <c r="D46" s="16"/>
      <c r="E46" s="16"/>
      <c r="F46" s="17">
        <f t="shared" si="14"/>
        <v>50</v>
      </c>
      <c r="G46" s="18" t="str">
        <f t="shared" si="15"/>
        <v/>
      </c>
      <c r="H46" s="15" t="str">
        <f t="shared" si="16"/>
        <v>미입력</v>
      </c>
      <c r="I46" s="17">
        <f t="shared" si="17"/>
        <v>65</v>
      </c>
      <c r="J46" s="18" t="str">
        <f t="shared" si="18"/>
        <v/>
      </c>
      <c r="K46" s="15" t="str">
        <f t="shared" si="19"/>
        <v>미입력</v>
      </c>
    </row>
    <row r="47" spans="1:11" ht="17.25" customHeight="1">
      <c r="A47" s="14">
        <v>46308</v>
      </c>
      <c r="B47" s="15" t="s">
        <v>47</v>
      </c>
      <c r="C47" s="16"/>
      <c r="D47" s="16"/>
      <c r="E47" s="16"/>
      <c r="F47" s="17">
        <f t="shared" si="14"/>
        <v>50</v>
      </c>
      <c r="G47" s="18" t="str">
        <f t="shared" si="15"/>
        <v/>
      </c>
      <c r="H47" s="15" t="str">
        <f t="shared" si="16"/>
        <v>미입력</v>
      </c>
      <c r="I47" s="17">
        <f t="shared" si="17"/>
        <v>65</v>
      </c>
      <c r="J47" s="18" t="str">
        <f t="shared" si="18"/>
        <v/>
      </c>
      <c r="K47" s="15" t="str">
        <f t="shared" si="19"/>
        <v>미입력</v>
      </c>
    </row>
    <row r="48" spans="1:11" ht="17.25" customHeight="1">
      <c r="A48" s="14">
        <v>46309</v>
      </c>
      <c r="B48" s="15" t="s">
        <v>49</v>
      </c>
      <c r="C48" s="16"/>
      <c r="D48" s="16"/>
      <c r="E48" s="16"/>
      <c r="F48" s="17">
        <f t="shared" si="14"/>
        <v>50</v>
      </c>
      <c r="G48" s="18" t="str">
        <f t="shared" si="15"/>
        <v/>
      </c>
      <c r="H48" s="15" t="str">
        <f t="shared" si="16"/>
        <v>미입력</v>
      </c>
      <c r="I48" s="17">
        <f t="shared" si="17"/>
        <v>65</v>
      </c>
      <c r="J48" s="18" t="str">
        <f t="shared" si="18"/>
        <v/>
      </c>
      <c r="K48" s="15" t="str">
        <f t="shared" si="19"/>
        <v>미입력</v>
      </c>
    </row>
    <row r="49" spans="1:11" ht="17.25" customHeight="1">
      <c r="A49" s="14">
        <v>46310</v>
      </c>
      <c r="B49" s="15" t="s">
        <v>51</v>
      </c>
      <c r="C49" s="16"/>
      <c r="D49" s="16"/>
      <c r="E49" s="16"/>
      <c r="F49" s="17">
        <f t="shared" si="14"/>
        <v>50</v>
      </c>
      <c r="G49" s="18" t="str">
        <f t="shared" si="15"/>
        <v/>
      </c>
      <c r="H49" s="15" t="str">
        <f t="shared" si="16"/>
        <v>미입력</v>
      </c>
      <c r="I49" s="17">
        <f t="shared" si="17"/>
        <v>65</v>
      </c>
      <c r="J49" s="18" t="str">
        <f t="shared" si="18"/>
        <v/>
      </c>
      <c r="K49" s="15" t="str">
        <f t="shared" si="19"/>
        <v>미입력</v>
      </c>
    </row>
    <row r="50" spans="1:11" ht="17.25" customHeight="1">
      <c r="A50" s="14">
        <v>46311</v>
      </c>
      <c r="B50" s="15" t="s">
        <v>54</v>
      </c>
      <c r="C50" s="16"/>
      <c r="D50" s="16"/>
      <c r="E50" s="16"/>
      <c r="F50" s="17">
        <f t="shared" si="14"/>
        <v>50</v>
      </c>
      <c r="G50" s="18" t="str">
        <f t="shared" si="15"/>
        <v/>
      </c>
      <c r="H50" s="15" t="str">
        <f t="shared" si="16"/>
        <v>미입력</v>
      </c>
      <c r="I50" s="17">
        <f t="shared" si="17"/>
        <v>65</v>
      </c>
      <c r="J50" s="18" t="str">
        <f t="shared" si="18"/>
        <v/>
      </c>
      <c r="K50" s="15" t="str">
        <f t="shared" si="19"/>
        <v>미입력</v>
      </c>
    </row>
    <row r="51" spans="1:11" ht="17.25" customHeight="1">
      <c r="A51" s="23">
        <v>46312</v>
      </c>
      <c r="B51" s="24" t="s">
        <v>56</v>
      </c>
      <c r="C51" s="16"/>
      <c r="D51" s="16"/>
      <c r="E51" s="16"/>
      <c r="F51" s="25">
        <f t="shared" si="14"/>
        <v>50</v>
      </c>
      <c r="G51" s="26" t="str">
        <f t="shared" si="15"/>
        <v/>
      </c>
      <c r="H51" s="24" t="str">
        <f t="shared" si="16"/>
        <v>미입력</v>
      </c>
      <c r="I51" s="25">
        <f t="shared" si="17"/>
        <v>65</v>
      </c>
      <c r="J51" s="26" t="str">
        <f t="shared" si="18"/>
        <v/>
      </c>
      <c r="K51" s="24" t="str">
        <f t="shared" si="19"/>
        <v>미입력</v>
      </c>
    </row>
    <row r="52" spans="1:11" ht="17.25" customHeight="1">
      <c r="A52" s="27">
        <v>46313</v>
      </c>
      <c r="B52" s="28" t="s">
        <v>58</v>
      </c>
      <c r="C52" s="16"/>
      <c r="D52" s="16"/>
      <c r="E52" s="16"/>
      <c r="F52" s="29">
        <f t="shared" si="14"/>
        <v>50</v>
      </c>
      <c r="G52" s="30" t="str">
        <f t="shared" si="15"/>
        <v/>
      </c>
      <c r="H52" s="28" t="str">
        <f t="shared" si="16"/>
        <v>미입력</v>
      </c>
      <c r="I52" s="29">
        <f t="shared" si="17"/>
        <v>65</v>
      </c>
      <c r="J52" s="30" t="str">
        <f t="shared" si="18"/>
        <v/>
      </c>
      <c r="K52" s="28" t="str">
        <f t="shared" si="19"/>
        <v>미입력</v>
      </c>
    </row>
    <row r="53" spans="1:11" ht="17.25" customHeight="1">
      <c r="A53" s="14">
        <v>46314</v>
      </c>
      <c r="B53" s="15" t="s">
        <v>60</v>
      </c>
      <c r="C53" s="16"/>
      <c r="D53" s="16"/>
      <c r="E53" s="16"/>
      <c r="F53" s="17">
        <f t="shared" si="14"/>
        <v>50</v>
      </c>
      <c r="G53" s="18" t="str">
        <f t="shared" si="15"/>
        <v/>
      </c>
      <c r="H53" s="15" t="str">
        <f t="shared" si="16"/>
        <v>미입력</v>
      </c>
      <c r="I53" s="17">
        <f t="shared" si="17"/>
        <v>65</v>
      </c>
      <c r="J53" s="18" t="str">
        <f t="shared" si="18"/>
        <v/>
      </c>
      <c r="K53" s="15" t="str">
        <f t="shared" si="19"/>
        <v>미입력</v>
      </c>
    </row>
    <row r="54" spans="1:11" ht="17.25" customHeight="1">
      <c r="A54" s="14">
        <v>46315</v>
      </c>
      <c r="B54" s="15" t="s">
        <v>47</v>
      </c>
      <c r="C54" s="16"/>
      <c r="D54" s="16"/>
      <c r="E54" s="16"/>
      <c r="F54" s="17">
        <f t="shared" si="14"/>
        <v>50</v>
      </c>
      <c r="G54" s="18" t="str">
        <f t="shared" si="15"/>
        <v/>
      </c>
      <c r="H54" s="15" t="str">
        <f t="shared" si="16"/>
        <v>미입력</v>
      </c>
      <c r="I54" s="17">
        <f t="shared" si="17"/>
        <v>65</v>
      </c>
      <c r="J54" s="18" t="str">
        <f t="shared" si="18"/>
        <v/>
      </c>
      <c r="K54" s="15" t="str">
        <f t="shared" si="19"/>
        <v>미입력</v>
      </c>
    </row>
    <row r="55" spans="1:11" ht="17.25" customHeight="1">
      <c r="A55" s="14">
        <v>46316</v>
      </c>
      <c r="B55" s="15" t="s">
        <v>49</v>
      </c>
      <c r="C55" s="16"/>
      <c r="D55" s="16"/>
      <c r="E55" s="16"/>
      <c r="F55" s="17">
        <f t="shared" si="14"/>
        <v>50</v>
      </c>
      <c r="G55" s="18" t="str">
        <f t="shared" si="15"/>
        <v/>
      </c>
      <c r="H55" s="15" t="str">
        <f t="shared" si="16"/>
        <v>미입력</v>
      </c>
      <c r="I55" s="17">
        <f t="shared" si="17"/>
        <v>65</v>
      </c>
      <c r="J55" s="18" t="str">
        <f t="shared" si="18"/>
        <v/>
      </c>
      <c r="K55" s="15" t="str">
        <f t="shared" si="19"/>
        <v>미입력</v>
      </c>
    </row>
    <row r="56" spans="1:11" ht="17.25" customHeight="1">
      <c r="A56" s="14">
        <v>46317</v>
      </c>
      <c r="B56" s="15" t="s">
        <v>51</v>
      </c>
      <c r="C56" s="16"/>
      <c r="D56" s="16"/>
      <c r="E56" s="16"/>
      <c r="F56" s="17">
        <f t="shared" si="14"/>
        <v>50</v>
      </c>
      <c r="G56" s="18" t="str">
        <f t="shared" si="15"/>
        <v/>
      </c>
      <c r="H56" s="15" t="str">
        <f t="shared" si="16"/>
        <v>미입력</v>
      </c>
      <c r="I56" s="17">
        <f t="shared" si="17"/>
        <v>65</v>
      </c>
      <c r="J56" s="18" t="str">
        <f t="shared" si="18"/>
        <v/>
      </c>
      <c r="K56" s="15" t="str">
        <f t="shared" si="19"/>
        <v>미입력</v>
      </c>
    </row>
    <row r="57" spans="1:11" ht="17.25" customHeight="1">
      <c r="A57" s="14">
        <v>46318</v>
      </c>
      <c r="B57" s="15" t="s">
        <v>54</v>
      </c>
      <c r="C57" s="16"/>
      <c r="D57" s="16"/>
      <c r="E57" s="16"/>
      <c r="F57" s="17">
        <f t="shared" si="14"/>
        <v>50</v>
      </c>
      <c r="G57" s="18" t="str">
        <f t="shared" si="15"/>
        <v/>
      </c>
      <c r="H57" s="15" t="str">
        <f t="shared" si="16"/>
        <v>미입력</v>
      </c>
      <c r="I57" s="17">
        <f t="shared" si="17"/>
        <v>65</v>
      </c>
      <c r="J57" s="18" t="str">
        <f t="shared" si="18"/>
        <v/>
      </c>
      <c r="K57" s="15" t="str">
        <f t="shared" si="19"/>
        <v>미입력</v>
      </c>
    </row>
    <row r="58" spans="1:11" ht="17.25" customHeight="1">
      <c r="A58" s="23">
        <v>46319</v>
      </c>
      <c r="B58" s="24" t="s">
        <v>56</v>
      </c>
      <c r="C58" s="16"/>
      <c r="D58" s="16"/>
      <c r="E58" s="16"/>
      <c r="F58" s="25">
        <f t="shared" si="14"/>
        <v>50</v>
      </c>
      <c r="G58" s="26" t="str">
        <f t="shared" si="15"/>
        <v/>
      </c>
      <c r="H58" s="24" t="str">
        <f t="shared" si="16"/>
        <v>미입력</v>
      </c>
      <c r="I58" s="25">
        <f t="shared" si="17"/>
        <v>65</v>
      </c>
      <c r="J58" s="26" t="str">
        <f t="shared" si="18"/>
        <v/>
      </c>
      <c r="K58" s="24" t="str">
        <f t="shared" si="19"/>
        <v>미입력</v>
      </c>
    </row>
    <row r="59" spans="1:11" ht="17.25" customHeight="1">
      <c r="A59" s="27">
        <v>46320</v>
      </c>
      <c r="B59" s="28" t="s">
        <v>58</v>
      </c>
      <c r="C59" s="16"/>
      <c r="D59" s="16"/>
      <c r="E59" s="16"/>
      <c r="F59" s="29">
        <f t="shared" si="14"/>
        <v>50</v>
      </c>
      <c r="G59" s="30" t="str">
        <f t="shared" si="15"/>
        <v/>
      </c>
      <c r="H59" s="28" t="str">
        <f t="shared" si="16"/>
        <v>미입력</v>
      </c>
      <c r="I59" s="29">
        <f t="shared" si="17"/>
        <v>65</v>
      </c>
      <c r="J59" s="30" t="str">
        <f t="shared" si="18"/>
        <v/>
      </c>
      <c r="K59" s="28" t="str">
        <f t="shared" si="19"/>
        <v>미입력</v>
      </c>
    </row>
    <row r="60" spans="1:11" ht="17.25" customHeight="1">
      <c r="A60" s="14">
        <v>46321</v>
      </c>
      <c r="B60" s="15" t="s">
        <v>60</v>
      </c>
      <c r="C60" s="16"/>
      <c r="D60" s="16"/>
      <c r="E60" s="16"/>
      <c r="F60" s="17">
        <f t="shared" si="14"/>
        <v>50</v>
      </c>
      <c r="G60" s="18" t="str">
        <f t="shared" si="15"/>
        <v/>
      </c>
      <c r="H60" s="15" t="str">
        <f t="shared" si="16"/>
        <v>미입력</v>
      </c>
      <c r="I60" s="17">
        <f t="shared" si="17"/>
        <v>65</v>
      </c>
      <c r="J60" s="18" t="str">
        <f t="shared" si="18"/>
        <v/>
      </c>
      <c r="K60" s="15" t="str">
        <f t="shared" si="19"/>
        <v>미입력</v>
      </c>
    </row>
    <row r="61" spans="1:11" ht="17.25" customHeight="1">
      <c r="A61" s="14">
        <v>46322</v>
      </c>
      <c r="B61" s="15" t="s">
        <v>47</v>
      </c>
      <c r="C61" s="16"/>
      <c r="D61" s="16"/>
      <c r="E61" s="16"/>
      <c r="F61" s="17">
        <f t="shared" si="14"/>
        <v>50</v>
      </c>
      <c r="G61" s="18" t="str">
        <f t="shared" si="15"/>
        <v/>
      </c>
      <c r="H61" s="15" t="str">
        <f t="shared" si="16"/>
        <v>미입력</v>
      </c>
      <c r="I61" s="17">
        <f t="shared" si="17"/>
        <v>65</v>
      </c>
      <c r="J61" s="18" t="str">
        <f t="shared" si="18"/>
        <v/>
      </c>
      <c r="K61" s="15" t="str">
        <f t="shared" si="19"/>
        <v>미입력</v>
      </c>
    </row>
    <row r="62" spans="1:11" ht="17.25" customHeight="1">
      <c r="A62" s="14">
        <v>46323</v>
      </c>
      <c r="B62" s="15" t="s">
        <v>49</v>
      </c>
      <c r="C62" s="16"/>
      <c r="D62" s="16"/>
      <c r="E62" s="16"/>
      <c r="F62" s="17">
        <f t="shared" si="14"/>
        <v>50</v>
      </c>
      <c r="G62" s="18" t="str">
        <f t="shared" si="15"/>
        <v/>
      </c>
      <c r="H62" s="15" t="str">
        <f t="shared" si="16"/>
        <v>미입력</v>
      </c>
      <c r="I62" s="17">
        <f t="shared" si="17"/>
        <v>65</v>
      </c>
      <c r="J62" s="18" t="str">
        <f t="shared" si="18"/>
        <v/>
      </c>
      <c r="K62" s="15" t="str">
        <f t="shared" si="19"/>
        <v>미입력</v>
      </c>
    </row>
    <row r="63" spans="1:11" ht="17.25" customHeight="1">
      <c r="A63" s="14">
        <v>46324</v>
      </c>
      <c r="B63" s="15" t="s">
        <v>51</v>
      </c>
      <c r="C63" s="16"/>
      <c r="D63" s="16"/>
      <c r="E63" s="16"/>
      <c r="F63" s="17">
        <f t="shared" si="14"/>
        <v>50</v>
      </c>
      <c r="G63" s="18" t="str">
        <f t="shared" si="15"/>
        <v/>
      </c>
      <c r="H63" s="15" t="str">
        <f t="shared" si="16"/>
        <v>미입력</v>
      </c>
      <c r="I63" s="17">
        <f t="shared" si="17"/>
        <v>65</v>
      </c>
      <c r="J63" s="18" t="str">
        <f t="shared" si="18"/>
        <v/>
      </c>
      <c r="K63" s="15" t="str">
        <f t="shared" si="19"/>
        <v>미입력</v>
      </c>
    </row>
    <row r="64" spans="1:11" ht="17.25" customHeight="1">
      <c r="A64" s="14">
        <v>46325</v>
      </c>
      <c r="B64" s="15" t="s">
        <v>54</v>
      </c>
      <c r="C64" s="16"/>
      <c r="D64" s="16"/>
      <c r="E64" s="16"/>
      <c r="F64" s="17">
        <f t="shared" si="14"/>
        <v>50</v>
      </c>
      <c r="G64" s="18" t="str">
        <f t="shared" si="15"/>
        <v/>
      </c>
      <c r="H64" s="15" t="str">
        <f t="shared" si="16"/>
        <v>미입력</v>
      </c>
      <c r="I64" s="17">
        <f t="shared" si="17"/>
        <v>65</v>
      </c>
      <c r="J64" s="18" t="str">
        <f t="shared" si="18"/>
        <v/>
      </c>
      <c r="K64" s="15" t="str">
        <f t="shared" si="19"/>
        <v>미입력</v>
      </c>
    </row>
    <row r="65" spans="1:11" ht="17.25" customHeight="1">
      <c r="A65" s="23">
        <v>46326</v>
      </c>
      <c r="B65" s="24" t="s">
        <v>56</v>
      </c>
      <c r="C65" s="16"/>
      <c r="D65" s="16"/>
      <c r="E65" s="16"/>
      <c r="F65" s="25">
        <f t="shared" si="14"/>
        <v>50</v>
      </c>
      <c r="G65" s="26" t="str">
        <f t="shared" si="15"/>
        <v/>
      </c>
      <c r="H65" s="24" t="str">
        <f t="shared" si="16"/>
        <v>미입력</v>
      </c>
      <c r="I65" s="25">
        <f t="shared" si="17"/>
        <v>65</v>
      </c>
      <c r="J65" s="26" t="str">
        <f t="shared" si="18"/>
        <v/>
      </c>
      <c r="K65" s="24" t="str">
        <f t="shared" si="19"/>
        <v>미입력</v>
      </c>
    </row>
    <row r="66" spans="1:11" ht="17.25" customHeight="1">
      <c r="A66" s="27">
        <v>46327</v>
      </c>
      <c r="B66" s="28" t="s">
        <v>58</v>
      </c>
      <c r="C66" s="16"/>
      <c r="D66" s="16"/>
      <c r="E66" s="16"/>
      <c r="F66" s="29">
        <f t="shared" si="14"/>
        <v>50</v>
      </c>
      <c r="G66" s="30" t="str">
        <f t="shared" si="15"/>
        <v/>
      </c>
      <c r="H66" s="28" t="str">
        <f t="shared" si="16"/>
        <v>미입력</v>
      </c>
      <c r="I66" s="29">
        <f t="shared" si="17"/>
        <v>65</v>
      </c>
      <c r="J66" s="30" t="str">
        <f t="shared" si="18"/>
        <v/>
      </c>
      <c r="K66" s="28" t="str">
        <f t="shared" si="19"/>
        <v>미입력</v>
      </c>
    </row>
    <row r="67" spans="1:11" ht="17.25" customHeight="1">
      <c r="A67" s="14">
        <v>46328</v>
      </c>
      <c r="B67" s="15" t="s">
        <v>60</v>
      </c>
      <c r="C67" s="16"/>
      <c r="D67" s="16"/>
      <c r="E67" s="16"/>
      <c r="F67" s="17">
        <f t="shared" si="14"/>
        <v>50</v>
      </c>
      <c r="G67" s="18" t="str">
        <f t="shared" si="15"/>
        <v/>
      </c>
      <c r="H67" s="15" t="str">
        <f t="shared" si="16"/>
        <v>미입력</v>
      </c>
      <c r="I67" s="17">
        <f t="shared" si="17"/>
        <v>65</v>
      </c>
      <c r="J67" s="18" t="str">
        <f t="shared" si="18"/>
        <v/>
      </c>
      <c r="K67" s="15" t="str">
        <f t="shared" si="19"/>
        <v>미입력</v>
      </c>
    </row>
    <row r="68" spans="1:11" ht="17.25" customHeight="1">
      <c r="A68" s="14">
        <v>46329</v>
      </c>
      <c r="B68" s="15" t="s">
        <v>47</v>
      </c>
      <c r="C68" s="16"/>
      <c r="D68" s="16"/>
      <c r="E68" s="16"/>
      <c r="F68" s="17">
        <f t="shared" si="14"/>
        <v>50</v>
      </c>
      <c r="G68" s="18" t="str">
        <f t="shared" si="15"/>
        <v/>
      </c>
      <c r="H68" s="15" t="str">
        <f t="shared" si="16"/>
        <v>미입력</v>
      </c>
      <c r="I68" s="17">
        <f t="shared" si="17"/>
        <v>65</v>
      </c>
      <c r="J68" s="18" t="str">
        <f t="shared" si="18"/>
        <v/>
      </c>
      <c r="K68" s="15" t="str">
        <f t="shared" si="19"/>
        <v>미입력</v>
      </c>
    </row>
    <row r="69" spans="1:11" ht="17.25" customHeight="1">
      <c r="A69" s="14">
        <v>46330</v>
      </c>
      <c r="B69" s="15" t="s">
        <v>49</v>
      </c>
      <c r="C69" s="16"/>
      <c r="D69" s="16"/>
      <c r="E69" s="16"/>
      <c r="F69" s="17">
        <f t="shared" ref="F69:F100" si="20">IF(OR($E69="오전반차",$E69="오후반차"),$D$2/2,$D$2)</f>
        <v>50</v>
      </c>
      <c r="G69" s="18" t="str">
        <f t="shared" ref="G69:G100" si="21">IF($C69="","",$C69/$F69)</f>
        <v/>
      </c>
      <c r="H69" s="15" t="str">
        <f t="shared" ref="H69:H100" si="22">IF($C69="",IF($E69="","미입력",$E69),IF($C69&gt;=$F69,"달성","미달"))</f>
        <v>미입력</v>
      </c>
      <c r="I69" s="17">
        <f t="shared" ref="I69:I100" si="23">IF(OR($E69="오전반차",$E69="오후반차"),$F$2/2,$F$2)</f>
        <v>65</v>
      </c>
      <c r="J69" s="18" t="str">
        <f t="shared" ref="J69:J100" si="24">IF($D69="","",$D69/$I69)</f>
        <v/>
      </c>
      <c r="K69" s="15" t="str">
        <f t="shared" ref="K69:K100" si="25">IF($D69="",IF($E69="","미입력",$E69),IF($D69&gt;=$I69,"달성","미달"))</f>
        <v>미입력</v>
      </c>
    </row>
    <row r="70" spans="1:11" ht="17.25" customHeight="1">
      <c r="A70" s="14">
        <v>46331</v>
      </c>
      <c r="B70" s="15" t="s">
        <v>51</v>
      </c>
      <c r="C70" s="16"/>
      <c r="D70" s="16"/>
      <c r="E70" s="16"/>
      <c r="F70" s="17">
        <f t="shared" si="20"/>
        <v>50</v>
      </c>
      <c r="G70" s="18" t="str">
        <f t="shared" si="21"/>
        <v/>
      </c>
      <c r="H70" s="15" t="str">
        <f t="shared" si="22"/>
        <v>미입력</v>
      </c>
      <c r="I70" s="17">
        <f t="shared" si="23"/>
        <v>65</v>
      </c>
      <c r="J70" s="18" t="str">
        <f t="shared" si="24"/>
        <v/>
      </c>
      <c r="K70" s="15" t="str">
        <f t="shared" si="25"/>
        <v>미입력</v>
      </c>
    </row>
    <row r="71" spans="1:11" ht="17.25" customHeight="1">
      <c r="A71" s="14">
        <v>46332</v>
      </c>
      <c r="B71" s="15" t="s">
        <v>54</v>
      </c>
      <c r="C71" s="16"/>
      <c r="D71" s="16"/>
      <c r="E71" s="16"/>
      <c r="F71" s="17">
        <f t="shared" si="20"/>
        <v>50</v>
      </c>
      <c r="G71" s="18" t="str">
        <f t="shared" si="21"/>
        <v/>
      </c>
      <c r="H71" s="15" t="str">
        <f t="shared" si="22"/>
        <v>미입력</v>
      </c>
      <c r="I71" s="17">
        <f t="shared" si="23"/>
        <v>65</v>
      </c>
      <c r="J71" s="18" t="str">
        <f t="shared" si="24"/>
        <v/>
      </c>
      <c r="K71" s="15" t="str">
        <f t="shared" si="25"/>
        <v>미입력</v>
      </c>
    </row>
    <row r="72" spans="1:11" ht="17.25" customHeight="1">
      <c r="A72" s="23">
        <v>46333</v>
      </c>
      <c r="B72" s="24" t="s">
        <v>56</v>
      </c>
      <c r="C72" s="16"/>
      <c r="D72" s="16"/>
      <c r="E72" s="16"/>
      <c r="F72" s="25">
        <f t="shared" si="20"/>
        <v>50</v>
      </c>
      <c r="G72" s="26" t="str">
        <f t="shared" si="21"/>
        <v/>
      </c>
      <c r="H72" s="24" t="str">
        <f t="shared" si="22"/>
        <v>미입력</v>
      </c>
      <c r="I72" s="25">
        <f t="shared" si="23"/>
        <v>65</v>
      </c>
      <c r="J72" s="26" t="str">
        <f t="shared" si="24"/>
        <v/>
      </c>
      <c r="K72" s="24" t="str">
        <f t="shared" si="25"/>
        <v>미입력</v>
      </c>
    </row>
    <row r="73" spans="1:11" ht="17.25" customHeight="1">
      <c r="A73" s="27">
        <v>46334</v>
      </c>
      <c r="B73" s="28" t="s">
        <v>58</v>
      </c>
      <c r="C73" s="16"/>
      <c r="D73" s="16"/>
      <c r="E73" s="16"/>
      <c r="F73" s="29">
        <f t="shared" si="20"/>
        <v>50</v>
      </c>
      <c r="G73" s="30" t="str">
        <f t="shared" si="21"/>
        <v/>
      </c>
      <c r="H73" s="28" t="str">
        <f t="shared" si="22"/>
        <v>미입력</v>
      </c>
      <c r="I73" s="29">
        <f t="shared" si="23"/>
        <v>65</v>
      </c>
      <c r="J73" s="30" t="str">
        <f t="shared" si="24"/>
        <v/>
      </c>
      <c r="K73" s="28" t="str">
        <f t="shared" si="25"/>
        <v>미입력</v>
      </c>
    </row>
    <row r="74" spans="1:11" ht="17.25" customHeight="1">
      <c r="A74" s="14">
        <v>46335</v>
      </c>
      <c r="B74" s="15" t="s">
        <v>60</v>
      </c>
      <c r="C74" s="16"/>
      <c r="D74" s="16"/>
      <c r="E74" s="16"/>
      <c r="F74" s="17">
        <f t="shared" si="20"/>
        <v>50</v>
      </c>
      <c r="G74" s="18" t="str">
        <f t="shared" si="21"/>
        <v/>
      </c>
      <c r="H74" s="15" t="str">
        <f t="shared" si="22"/>
        <v>미입력</v>
      </c>
      <c r="I74" s="17">
        <f t="shared" si="23"/>
        <v>65</v>
      </c>
      <c r="J74" s="18" t="str">
        <f t="shared" si="24"/>
        <v/>
      </c>
      <c r="K74" s="15" t="str">
        <f t="shared" si="25"/>
        <v>미입력</v>
      </c>
    </row>
    <row r="75" spans="1:11" ht="17.25" customHeight="1">
      <c r="A75" s="14">
        <v>46336</v>
      </c>
      <c r="B75" s="15" t="s">
        <v>47</v>
      </c>
      <c r="C75" s="16"/>
      <c r="D75" s="16"/>
      <c r="E75" s="16"/>
      <c r="F75" s="17">
        <f t="shared" si="20"/>
        <v>50</v>
      </c>
      <c r="G75" s="18" t="str">
        <f t="shared" si="21"/>
        <v/>
      </c>
      <c r="H75" s="15" t="str">
        <f t="shared" si="22"/>
        <v>미입력</v>
      </c>
      <c r="I75" s="17">
        <f t="shared" si="23"/>
        <v>65</v>
      </c>
      <c r="J75" s="18" t="str">
        <f t="shared" si="24"/>
        <v/>
      </c>
      <c r="K75" s="15" t="str">
        <f t="shared" si="25"/>
        <v>미입력</v>
      </c>
    </row>
    <row r="76" spans="1:11" ht="17.25" customHeight="1">
      <c r="A76" s="14">
        <v>46337</v>
      </c>
      <c r="B76" s="15" t="s">
        <v>49</v>
      </c>
      <c r="C76" s="16"/>
      <c r="D76" s="16"/>
      <c r="E76" s="16"/>
      <c r="F76" s="17">
        <f t="shared" si="20"/>
        <v>50</v>
      </c>
      <c r="G76" s="18" t="str">
        <f t="shared" si="21"/>
        <v/>
      </c>
      <c r="H76" s="15" t="str">
        <f t="shared" si="22"/>
        <v>미입력</v>
      </c>
      <c r="I76" s="17">
        <f t="shared" si="23"/>
        <v>65</v>
      </c>
      <c r="J76" s="18" t="str">
        <f t="shared" si="24"/>
        <v/>
      </c>
      <c r="K76" s="15" t="str">
        <f t="shared" si="25"/>
        <v>미입력</v>
      </c>
    </row>
    <row r="77" spans="1:11" ht="17.25" customHeight="1">
      <c r="A77" s="14">
        <v>46338</v>
      </c>
      <c r="B77" s="15" t="s">
        <v>51</v>
      </c>
      <c r="C77" s="16"/>
      <c r="D77" s="16"/>
      <c r="E77" s="16"/>
      <c r="F77" s="17">
        <f t="shared" si="20"/>
        <v>50</v>
      </c>
      <c r="G77" s="18" t="str">
        <f t="shared" si="21"/>
        <v/>
      </c>
      <c r="H77" s="15" t="str">
        <f t="shared" si="22"/>
        <v>미입력</v>
      </c>
      <c r="I77" s="17">
        <f t="shared" si="23"/>
        <v>65</v>
      </c>
      <c r="J77" s="18" t="str">
        <f t="shared" si="24"/>
        <v/>
      </c>
      <c r="K77" s="15" t="str">
        <f t="shared" si="25"/>
        <v>미입력</v>
      </c>
    </row>
    <row r="78" spans="1:11" ht="17.25" customHeight="1">
      <c r="A78" s="14">
        <v>46339</v>
      </c>
      <c r="B78" s="15" t="s">
        <v>54</v>
      </c>
      <c r="C78" s="16"/>
      <c r="D78" s="16"/>
      <c r="E78" s="16"/>
      <c r="F78" s="17">
        <f t="shared" si="20"/>
        <v>50</v>
      </c>
      <c r="G78" s="18" t="str">
        <f t="shared" si="21"/>
        <v/>
      </c>
      <c r="H78" s="15" t="str">
        <f t="shared" si="22"/>
        <v>미입력</v>
      </c>
      <c r="I78" s="17">
        <f t="shared" si="23"/>
        <v>65</v>
      </c>
      <c r="J78" s="18" t="str">
        <f t="shared" si="24"/>
        <v/>
      </c>
      <c r="K78" s="15" t="str">
        <f t="shared" si="25"/>
        <v>미입력</v>
      </c>
    </row>
    <row r="79" spans="1:11" ht="17.25" customHeight="1">
      <c r="A79" s="23">
        <v>46340</v>
      </c>
      <c r="B79" s="24" t="s">
        <v>56</v>
      </c>
      <c r="C79" s="16"/>
      <c r="D79" s="16"/>
      <c r="E79" s="16"/>
      <c r="F79" s="25">
        <f t="shared" si="20"/>
        <v>50</v>
      </c>
      <c r="G79" s="26" t="str">
        <f t="shared" si="21"/>
        <v/>
      </c>
      <c r="H79" s="24" t="str">
        <f t="shared" si="22"/>
        <v>미입력</v>
      </c>
      <c r="I79" s="25">
        <f t="shared" si="23"/>
        <v>65</v>
      </c>
      <c r="J79" s="26" t="str">
        <f t="shared" si="24"/>
        <v/>
      </c>
      <c r="K79" s="24" t="str">
        <f t="shared" si="25"/>
        <v>미입력</v>
      </c>
    </row>
    <row r="80" spans="1:11" ht="17.25" customHeight="1">
      <c r="A80" s="27">
        <v>46341</v>
      </c>
      <c r="B80" s="28" t="s">
        <v>58</v>
      </c>
      <c r="C80" s="16"/>
      <c r="D80" s="16"/>
      <c r="E80" s="16"/>
      <c r="F80" s="29">
        <f t="shared" si="20"/>
        <v>50</v>
      </c>
      <c r="G80" s="30" t="str">
        <f t="shared" si="21"/>
        <v/>
      </c>
      <c r="H80" s="28" t="str">
        <f t="shared" si="22"/>
        <v>미입력</v>
      </c>
      <c r="I80" s="29">
        <f t="shared" si="23"/>
        <v>65</v>
      </c>
      <c r="J80" s="30" t="str">
        <f t="shared" si="24"/>
        <v/>
      </c>
      <c r="K80" s="28" t="str">
        <f t="shared" si="25"/>
        <v>미입력</v>
      </c>
    </row>
    <row r="81" spans="1:11" ht="17.25" customHeight="1">
      <c r="A81" s="14">
        <v>46342</v>
      </c>
      <c r="B81" s="15" t="s">
        <v>60</v>
      </c>
      <c r="C81" s="16"/>
      <c r="D81" s="16"/>
      <c r="E81" s="16"/>
      <c r="F81" s="17">
        <f t="shared" si="20"/>
        <v>50</v>
      </c>
      <c r="G81" s="18" t="str">
        <f t="shared" si="21"/>
        <v/>
      </c>
      <c r="H81" s="15" t="str">
        <f t="shared" si="22"/>
        <v>미입력</v>
      </c>
      <c r="I81" s="17">
        <f t="shared" si="23"/>
        <v>65</v>
      </c>
      <c r="J81" s="18" t="str">
        <f t="shared" si="24"/>
        <v/>
      </c>
      <c r="K81" s="15" t="str">
        <f t="shared" si="25"/>
        <v>미입력</v>
      </c>
    </row>
    <row r="82" spans="1:11" ht="17.25" customHeight="1">
      <c r="A82" s="14">
        <v>46343</v>
      </c>
      <c r="B82" s="15" t="s">
        <v>47</v>
      </c>
      <c r="C82" s="16"/>
      <c r="D82" s="16"/>
      <c r="E82" s="16"/>
      <c r="F82" s="17">
        <f t="shared" si="20"/>
        <v>50</v>
      </c>
      <c r="G82" s="18" t="str">
        <f t="shared" si="21"/>
        <v/>
      </c>
      <c r="H82" s="15" t="str">
        <f t="shared" si="22"/>
        <v>미입력</v>
      </c>
      <c r="I82" s="17">
        <f t="shared" si="23"/>
        <v>65</v>
      </c>
      <c r="J82" s="18" t="str">
        <f t="shared" si="24"/>
        <v/>
      </c>
      <c r="K82" s="15" t="str">
        <f t="shared" si="25"/>
        <v>미입력</v>
      </c>
    </row>
    <row r="83" spans="1:11" ht="17.25" customHeight="1">
      <c r="A83" s="14">
        <v>46344</v>
      </c>
      <c r="B83" s="15" t="s">
        <v>49</v>
      </c>
      <c r="C83" s="16"/>
      <c r="D83" s="16"/>
      <c r="E83" s="16"/>
      <c r="F83" s="17">
        <f t="shared" si="20"/>
        <v>50</v>
      </c>
      <c r="G83" s="18" t="str">
        <f t="shared" si="21"/>
        <v/>
      </c>
      <c r="H83" s="15" t="str">
        <f t="shared" si="22"/>
        <v>미입력</v>
      </c>
      <c r="I83" s="17">
        <f t="shared" si="23"/>
        <v>65</v>
      </c>
      <c r="J83" s="18" t="str">
        <f t="shared" si="24"/>
        <v/>
      </c>
      <c r="K83" s="15" t="str">
        <f t="shared" si="25"/>
        <v>미입력</v>
      </c>
    </row>
    <row r="84" spans="1:11" ht="17.25" customHeight="1">
      <c r="A84" s="14">
        <v>46345</v>
      </c>
      <c r="B84" s="15" t="s">
        <v>51</v>
      </c>
      <c r="C84" s="16"/>
      <c r="D84" s="16"/>
      <c r="E84" s="16"/>
      <c r="F84" s="17">
        <f t="shared" si="20"/>
        <v>50</v>
      </c>
      <c r="G84" s="18" t="str">
        <f t="shared" si="21"/>
        <v/>
      </c>
      <c r="H84" s="15" t="str">
        <f t="shared" si="22"/>
        <v>미입력</v>
      </c>
      <c r="I84" s="17">
        <f t="shared" si="23"/>
        <v>65</v>
      </c>
      <c r="J84" s="18" t="str">
        <f t="shared" si="24"/>
        <v/>
      </c>
      <c r="K84" s="15" t="str">
        <f t="shared" si="25"/>
        <v>미입력</v>
      </c>
    </row>
    <row r="85" spans="1:11" ht="17.25" customHeight="1">
      <c r="A85" s="14">
        <v>46346</v>
      </c>
      <c r="B85" s="15" t="s">
        <v>54</v>
      </c>
      <c r="C85" s="16"/>
      <c r="D85" s="16"/>
      <c r="E85" s="16"/>
      <c r="F85" s="17">
        <f t="shared" si="20"/>
        <v>50</v>
      </c>
      <c r="G85" s="18" t="str">
        <f t="shared" si="21"/>
        <v/>
      </c>
      <c r="H85" s="15" t="str">
        <f t="shared" si="22"/>
        <v>미입력</v>
      </c>
      <c r="I85" s="17">
        <f t="shared" si="23"/>
        <v>65</v>
      </c>
      <c r="J85" s="18" t="str">
        <f t="shared" si="24"/>
        <v/>
      </c>
      <c r="K85" s="15" t="str">
        <f t="shared" si="25"/>
        <v>미입력</v>
      </c>
    </row>
    <row r="86" spans="1:11" ht="17.25" customHeight="1">
      <c r="A86" s="23">
        <v>46347</v>
      </c>
      <c r="B86" s="24" t="s">
        <v>56</v>
      </c>
      <c r="C86" s="16"/>
      <c r="D86" s="16"/>
      <c r="E86" s="16"/>
      <c r="F86" s="25">
        <f t="shared" si="20"/>
        <v>50</v>
      </c>
      <c r="G86" s="26" t="str">
        <f t="shared" si="21"/>
        <v/>
      </c>
      <c r="H86" s="24" t="str">
        <f t="shared" si="22"/>
        <v>미입력</v>
      </c>
      <c r="I86" s="25">
        <f t="shared" si="23"/>
        <v>65</v>
      </c>
      <c r="J86" s="26" t="str">
        <f t="shared" si="24"/>
        <v/>
      </c>
      <c r="K86" s="24" t="str">
        <f t="shared" si="25"/>
        <v>미입력</v>
      </c>
    </row>
    <row r="87" spans="1:11" ht="17.25" customHeight="1">
      <c r="A87" s="27">
        <v>46348</v>
      </c>
      <c r="B87" s="28" t="s">
        <v>58</v>
      </c>
      <c r="C87" s="16"/>
      <c r="D87" s="16"/>
      <c r="E87" s="16"/>
      <c r="F87" s="29">
        <f t="shared" si="20"/>
        <v>50</v>
      </c>
      <c r="G87" s="30" t="str">
        <f t="shared" si="21"/>
        <v/>
      </c>
      <c r="H87" s="28" t="str">
        <f t="shared" si="22"/>
        <v>미입력</v>
      </c>
      <c r="I87" s="29">
        <f t="shared" si="23"/>
        <v>65</v>
      </c>
      <c r="J87" s="30" t="str">
        <f t="shared" si="24"/>
        <v/>
      </c>
      <c r="K87" s="28" t="str">
        <f t="shared" si="25"/>
        <v>미입력</v>
      </c>
    </row>
    <row r="88" spans="1:11" ht="17.25" customHeight="1">
      <c r="A88" s="14">
        <v>46349</v>
      </c>
      <c r="B88" s="15" t="s">
        <v>60</v>
      </c>
      <c r="C88" s="16"/>
      <c r="D88" s="16"/>
      <c r="E88" s="16"/>
      <c r="F88" s="17">
        <f t="shared" si="20"/>
        <v>50</v>
      </c>
      <c r="G88" s="18" t="str">
        <f t="shared" si="21"/>
        <v/>
      </c>
      <c r="H88" s="15" t="str">
        <f t="shared" si="22"/>
        <v>미입력</v>
      </c>
      <c r="I88" s="17">
        <f t="shared" si="23"/>
        <v>65</v>
      </c>
      <c r="J88" s="18" t="str">
        <f t="shared" si="24"/>
        <v/>
      </c>
      <c r="K88" s="15" t="str">
        <f t="shared" si="25"/>
        <v>미입력</v>
      </c>
    </row>
    <row r="89" spans="1:11" ht="17.25" customHeight="1">
      <c r="A89" s="14">
        <v>46350</v>
      </c>
      <c r="B89" s="15" t="s">
        <v>47</v>
      </c>
      <c r="C89" s="16"/>
      <c r="D89" s="16"/>
      <c r="E89" s="16"/>
      <c r="F89" s="17">
        <f t="shared" si="20"/>
        <v>50</v>
      </c>
      <c r="G89" s="18" t="str">
        <f t="shared" si="21"/>
        <v/>
      </c>
      <c r="H89" s="15" t="str">
        <f t="shared" si="22"/>
        <v>미입력</v>
      </c>
      <c r="I89" s="17">
        <f t="shared" si="23"/>
        <v>65</v>
      </c>
      <c r="J89" s="18" t="str">
        <f t="shared" si="24"/>
        <v/>
      </c>
      <c r="K89" s="15" t="str">
        <f t="shared" si="25"/>
        <v>미입력</v>
      </c>
    </row>
    <row r="90" spans="1:11" ht="17.25" customHeight="1">
      <c r="A90" s="14">
        <v>46351</v>
      </c>
      <c r="B90" s="15" t="s">
        <v>49</v>
      </c>
      <c r="C90" s="16"/>
      <c r="D90" s="16"/>
      <c r="E90" s="16"/>
      <c r="F90" s="17">
        <f t="shared" si="20"/>
        <v>50</v>
      </c>
      <c r="G90" s="18" t="str">
        <f t="shared" si="21"/>
        <v/>
      </c>
      <c r="H90" s="15" t="str">
        <f t="shared" si="22"/>
        <v>미입력</v>
      </c>
      <c r="I90" s="17">
        <f t="shared" si="23"/>
        <v>65</v>
      </c>
      <c r="J90" s="18" t="str">
        <f t="shared" si="24"/>
        <v/>
      </c>
      <c r="K90" s="15" t="str">
        <f t="shared" si="25"/>
        <v>미입력</v>
      </c>
    </row>
    <row r="91" spans="1:11" ht="17.25" customHeight="1">
      <c r="A91" s="14">
        <v>46352</v>
      </c>
      <c r="B91" s="15" t="s">
        <v>51</v>
      </c>
      <c r="C91" s="16"/>
      <c r="D91" s="16"/>
      <c r="E91" s="16"/>
      <c r="F91" s="17">
        <f t="shared" si="20"/>
        <v>50</v>
      </c>
      <c r="G91" s="18" t="str">
        <f t="shared" si="21"/>
        <v/>
      </c>
      <c r="H91" s="15" t="str">
        <f t="shared" si="22"/>
        <v>미입력</v>
      </c>
      <c r="I91" s="17">
        <f t="shared" si="23"/>
        <v>65</v>
      </c>
      <c r="J91" s="18" t="str">
        <f t="shared" si="24"/>
        <v/>
      </c>
      <c r="K91" s="15" t="str">
        <f t="shared" si="25"/>
        <v>미입력</v>
      </c>
    </row>
    <row r="92" spans="1:11" ht="17.25" customHeight="1">
      <c r="A92" s="14">
        <v>46353</v>
      </c>
      <c r="B92" s="15" t="s">
        <v>54</v>
      </c>
      <c r="C92" s="16"/>
      <c r="D92" s="16"/>
      <c r="E92" s="16"/>
      <c r="F92" s="17">
        <f t="shared" si="20"/>
        <v>50</v>
      </c>
      <c r="G92" s="18" t="str">
        <f t="shared" si="21"/>
        <v/>
      </c>
      <c r="H92" s="15" t="str">
        <f t="shared" si="22"/>
        <v>미입력</v>
      </c>
      <c r="I92" s="17">
        <f t="shared" si="23"/>
        <v>65</v>
      </c>
      <c r="J92" s="18" t="str">
        <f t="shared" si="24"/>
        <v/>
      </c>
      <c r="K92" s="15" t="str">
        <f t="shared" si="25"/>
        <v>미입력</v>
      </c>
    </row>
    <row r="93" spans="1:11" ht="17.25" customHeight="1">
      <c r="A93" s="23">
        <v>46354</v>
      </c>
      <c r="B93" s="24" t="s">
        <v>56</v>
      </c>
      <c r="C93" s="16"/>
      <c r="D93" s="16"/>
      <c r="E93" s="16"/>
      <c r="F93" s="25">
        <f t="shared" si="20"/>
        <v>50</v>
      </c>
      <c r="G93" s="26" t="str">
        <f t="shared" si="21"/>
        <v/>
      </c>
      <c r="H93" s="24" t="str">
        <f t="shared" si="22"/>
        <v>미입력</v>
      </c>
      <c r="I93" s="25">
        <f t="shared" si="23"/>
        <v>65</v>
      </c>
      <c r="J93" s="26" t="str">
        <f t="shared" si="24"/>
        <v/>
      </c>
      <c r="K93" s="24" t="str">
        <f t="shared" si="25"/>
        <v>미입력</v>
      </c>
    </row>
    <row r="94" spans="1:11" ht="17.25" customHeight="1">
      <c r="A94" s="27">
        <v>46355</v>
      </c>
      <c r="B94" s="28" t="s">
        <v>58</v>
      </c>
      <c r="C94" s="16"/>
      <c r="D94" s="16"/>
      <c r="E94" s="16"/>
      <c r="F94" s="29">
        <f t="shared" si="20"/>
        <v>50</v>
      </c>
      <c r="G94" s="30" t="str">
        <f t="shared" si="21"/>
        <v/>
      </c>
      <c r="H94" s="28" t="str">
        <f t="shared" si="22"/>
        <v>미입력</v>
      </c>
      <c r="I94" s="29">
        <f t="shared" si="23"/>
        <v>65</v>
      </c>
      <c r="J94" s="30" t="str">
        <f t="shared" si="24"/>
        <v/>
      </c>
      <c r="K94" s="28" t="str">
        <f t="shared" si="25"/>
        <v>미입력</v>
      </c>
    </row>
    <row r="95" spans="1:11" ht="17.25" customHeight="1">
      <c r="A95" s="14">
        <v>46356</v>
      </c>
      <c r="B95" s="15" t="s">
        <v>60</v>
      </c>
      <c r="C95" s="16"/>
      <c r="D95" s="16"/>
      <c r="E95" s="16"/>
      <c r="F95" s="17">
        <f t="shared" si="20"/>
        <v>50</v>
      </c>
      <c r="G95" s="18" t="str">
        <f t="shared" si="21"/>
        <v/>
      </c>
      <c r="H95" s="15" t="str">
        <f t="shared" si="22"/>
        <v>미입력</v>
      </c>
      <c r="I95" s="17">
        <f t="shared" si="23"/>
        <v>65</v>
      </c>
      <c r="J95" s="18" t="str">
        <f t="shared" si="24"/>
        <v/>
      </c>
      <c r="K95" s="15" t="str">
        <f t="shared" si="25"/>
        <v>미입력</v>
      </c>
    </row>
    <row r="96" spans="1:11" ht="17.25" customHeight="1">
      <c r="A96" s="14">
        <v>46357</v>
      </c>
      <c r="B96" s="15" t="s">
        <v>47</v>
      </c>
      <c r="C96" s="16"/>
      <c r="D96" s="16"/>
      <c r="E96" s="16"/>
      <c r="F96" s="17">
        <f t="shared" si="20"/>
        <v>50</v>
      </c>
      <c r="G96" s="18" t="str">
        <f t="shared" si="21"/>
        <v/>
      </c>
      <c r="H96" s="15" t="str">
        <f t="shared" si="22"/>
        <v>미입력</v>
      </c>
      <c r="I96" s="17">
        <f t="shared" si="23"/>
        <v>65</v>
      </c>
      <c r="J96" s="18" t="str">
        <f t="shared" si="24"/>
        <v/>
      </c>
      <c r="K96" s="15" t="str">
        <f t="shared" si="25"/>
        <v>미입력</v>
      </c>
    </row>
    <row r="97" spans="1:11" ht="17.25" customHeight="1">
      <c r="A97" s="14">
        <v>46358</v>
      </c>
      <c r="B97" s="15" t="s">
        <v>49</v>
      </c>
      <c r="C97" s="16"/>
      <c r="D97" s="16"/>
      <c r="E97" s="16"/>
      <c r="F97" s="17">
        <f t="shared" si="20"/>
        <v>50</v>
      </c>
      <c r="G97" s="18" t="str">
        <f t="shared" si="21"/>
        <v/>
      </c>
      <c r="H97" s="15" t="str">
        <f t="shared" si="22"/>
        <v>미입력</v>
      </c>
      <c r="I97" s="17">
        <f t="shared" si="23"/>
        <v>65</v>
      </c>
      <c r="J97" s="18" t="str">
        <f t="shared" si="24"/>
        <v/>
      </c>
      <c r="K97" s="15" t="str">
        <f t="shared" si="25"/>
        <v>미입력</v>
      </c>
    </row>
    <row r="98" spans="1:11" ht="17.25" customHeight="1">
      <c r="A98" s="14">
        <v>46359</v>
      </c>
      <c r="B98" s="15" t="s">
        <v>51</v>
      </c>
      <c r="C98" s="16"/>
      <c r="D98" s="16"/>
      <c r="E98" s="16"/>
      <c r="F98" s="17">
        <f t="shared" si="20"/>
        <v>50</v>
      </c>
      <c r="G98" s="18" t="str">
        <f t="shared" si="21"/>
        <v/>
      </c>
      <c r="H98" s="15" t="str">
        <f t="shared" si="22"/>
        <v>미입력</v>
      </c>
      <c r="I98" s="17">
        <f t="shared" si="23"/>
        <v>65</v>
      </c>
      <c r="J98" s="18" t="str">
        <f t="shared" si="24"/>
        <v/>
      </c>
      <c r="K98" s="15" t="str">
        <f t="shared" si="25"/>
        <v>미입력</v>
      </c>
    </row>
    <row r="99" spans="1:11" ht="17.25" customHeight="1">
      <c r="A99" s="14">
        <v>46360</v>
      </c>
      <c r="B99" s="15" t="s">
        <v>54</v>
      </c>
      <c r="C99" s="16"/>
      <c r="D99" s="16"/>
      <c r="E99" s="16"/>
      <c r="F99" s="17">
        <f t="shared" si="20"/>
        <v>50</v>
      </c>
      <c r="G99" s="18" t="str">
        <f t="shared" si="21"/>
        <v/>
      </c>
      <c r="H99" s="15" t="str">
        <f t="shared" si="22"/>
        <v>미입력</v>
      </c>
      <c r="I99" s="17">
        <f t="shared" si="23"/>
        <v>65</v>
      </c>
      <c r="J99" s="18" t="str">
        <f t="shared" si="24"/>
        <v/>
      </c>
      <c r="K99" s="15" t="str">
        <f t="shared" si="25"/>
        <v>미입력</v>
      </c>
    </row>
    <row r="100" spans="1:11" ht="17.25" customHeight="1">
      <c r="A100" s="23">
        <v>46361</v>
      </c>
      <c r="B100" s="24" t="s">
        <v>56</v>
      </c>
      <c r="C100" s="16"/>
      <c r="D100" s="16"/>
      <c r="E100" s="16"/>
      <c r="F100" s="25">
        <f t="shared" si="20"/>
        <v>50</v>
      </c>
      <c r="G100" s="26" t="str">
        <f t="shared" si="21"/>
        <v/>
      </c>
      <c r="H100" s="24" t="str">
        <f t="shared" si="22"/>
        <v>미입력</v>
      </c>
      <c r="I100" s="25">
        <f t="shared" si="23"/>
        <v>65</v>
      </c>
      <c r="J100" s="26" t="str">
        <f t="shared" si="24"/>
        <v/>
      </c>
      <c r="K100" s="24" t="str">
        <f t="shared" si="25"/>
        <v>미입력</v>
      </c>
    </row>
    <row r="101" spans="1:11" ht="17.25" customHeight="1">
      <c r="A101" s="27">
        <v>46362</v>
      </c>
      <c r="B101" s="28" t="s">
        <v>58</v>
      </c>
      <c r="C101" s="16"/>
      <c r="D101" s="16"/>
      <c r="E101" s="16"/>
      <c r="F101" s="29">
        <f t="shared" ref="F101:F126" si="26">IF(OR($E101="오전반차",$E101="오후반차"),$D$2/2,$D$2)</f>
        <v>50</v>
      </c>
      <c r="G101" s="30" t="str">
        <f t="shared" ref="G101:G126" si="27">IF($C101="","",$C101/$F101)</f>
        <v/>
      </c>
      <c r="H101" s="28" t="str">
        <f t="shared" ref="H101:H126" si="28">IF($C101="",IF($E101="","미입력",$E101),IF($C101&gt;=$F101,"달성","미달"))</f>
        <v>미입력</v>
      </c>
      <c r="I101" s="29">
        <f t="shared" ref="I101:I126" si="29">IF(OR($E101="오전반차",$E101="오후반차"),$F$2/2,$F$2)</f>
        <v>65</v>
      </c>
      <c r="J101" s="30" t="str">
        <f t="shared" ref="J101:J126" si="30">IF($D101="","",$D101/$I101)</f>
        <v/>
      </c>
      <c r="K101" s="28" t="str">
        <f t="shared" ref="K101:K126" si="31">IF($D101="",IF($E101="","미입력",$E101),IF($D101&gt;=$I101,"달성","미달"))</f>
        <v>미입력</v>
      </c>
    </row>
    <row r="102" spans="1:11" ht="17.25" customHeight="1">
      <c r="A102" s="14">
        <v>46363</v>
      </c>
      <c r="B102" s="15" t="s">
        <v>60</v>
      </c>
      <c r="C102" s="16"/>
      <c r="D102" s="16"/>
      <c r="E102" s="16"/>
      <c r="F102" s="17">
        <f t="shared" si="26"/>
        <v>50</v>
      </c>
      <c r="G102" s="18" t="str">
        <f t="shared" si="27"/>
        <v/>
      </c>
      <c r="H102" s="15" t="str">
        <f t="shared" si="28"/>
        <v>미입력</v>
      </c>
      <c r="I102" s="17">
        <f t="shared" si="29"/>
        <v>65</v>
      </c>
      <c r="J102" s="18" t="str">
        <f t="shared" si="30"/>
        <v/>
      </c>
      <c r="K102" s="15" t="str">
        <f t="shared" si="31"/>
        <v>미입력</v>
      </c>
    </row>
    <row r="103" spans="1:11" ht="17.25" customHeight="1">
      <c r="A103" s="14">
        <v>46364</v>
      </c>
      <c r="B103" s="15" t="s">
        <v>47</v>
      </c>
      <c r="C103" s="16"/>
      <c r="D103" s="16"/>
      <c r="E103" s="16"/>
      <c r="F103" s="17">
        <f t="shared" si="26"/>
        <v>50</v>
      </c>
      <c r="G103" s="18" t="str">
        <f t="shared" si="27"/>
        <v/>
      </c>
      <c r="H103" s="15" t="str">
        <f t="shared" si="28"/>
        <v>미입력</v>
      </c>
      <c r="I103" s="17">
        <f t="shared" si="29"/>
        <v>65</v>
      </c>
      <c r="J103" s="18" t="str">
        <f t="shared" si="30"/>
        <v/>
      </c>
      <c r="K103" s="15" t="str">
        <f t="shared" si="31"/>
        <v>미입력</v>
      </c>
    </row>
    <row r="104" spans="1:11" ht="17.25" customHeight="1">
      <c r="A104" s="14">
        <v>46365</v>
      </c>
      <c r="B104" s="15" t="s">
        <v>49</v>
      </c>
      <c r="C104" s="16"/>
      <c r="D104" s="16"/>
      <c r="E104" s="16"/>
      <c r="F104" s="17">
        <f t="shared" si="26"/>
        <v>50</v>
      </c>
      <c r="G104" s="18" t="str">
        <f t="shared" si="27"/>
        <v/>
      </c>
      <c r="H104" s="15" t="str">
        <f t="shared" si="28"/>
        <v>미입력</v>
      </c>
      <c r="I104" s="17">
        <f t="shared" si="29"/>
        <v>65</v>
      </c>
      <c r="J104" s="18" t="str">
        <f t="shared" si="30"/>
        <v/>
      </c>
      <c r="K104" s="15" t="str">
        <f t="shared" si="31"/>
        <v>미입력</v>
      </c>
    </row>
    <row r="105" spans="1:11" ht="17.25" customHeight="1">
      <c r="A105" s="14">
        <v>46366</v>
      </c>
      <c r="B105" s="15" t="s">
        <v>51</v>
      </c>
      <c r="C105" s="16"/>
      <c r="D105" s="16"/>
      <c r="E105" s="16"/>
      <c r="F105" s="17">
        <f t="shared" si="26"/>
        <v>50</v>
      </c>
      <c r="G105" s="18" t="str">
        <f t="shared" si="27"/>
        <v/>
      </c>
      <c r="H105" s="15" t="str">
        <f t="shared" si="28"/>
        <v>미입력</v>
      </c>
      <c r="I105" s="17">
        <f t="shared" si="29"/>
        <v>65</v>
      </c>
      <c r="J105" s="18" t="str">
        <f t="shared" si="30"/>
        <v/>
      </c>
      <c r="K105" s="15" t="str">
        <f t="shared" si="31"/>
        <v>미입력</v>
      </c>
    </row>
    <row r="106" spans="1:11" ht="17.25" customHeight="1">
      <c r="A106" s="14">
        <v>46367</v>
      </c>
      <c r="B106" s="15" t="s">
        <v>54</v>
      </c>
      <c r="C106" s="16"/>
      <c r="D106" s="16"/>
      <c r="E106" s="16"/>
      <c r="F106" s="17">
        <f t="shared" si="26"/>
        <v>50</v>
      </c>
      <c r="G106" s="18" t="str">
        <f t="shared" si="27"/>
        <v/>
      </c>
      <c r="H106" s="15" t="str">
        <f t="shared" si="28"/>
        <v>미입력</v>
      </c>
      <c r="I106" s="17">
        <f t="shared" si="29"/>
        <v>65</v>
      </c>
      <c r="J106" s="18" t="str">
        <f t="shared" si="30"/>
        <v/>
      </c>
      <c r="K106" s="15" t="str">
        <f t="shared" si="31"/>
        <v>미입력</v>
      </c>
    </row>
    <row r="107" spans="1:11" ht="17.25" customHeight="1">
      <c r="A107" s="23">
        <v>46368</v>
      </c>
      <c r="B107" s="24" t="s">
        <v>56</v>
      </c>
      <c r="C107" s="16"/>
      <c r="D107" s="16"/>
      <c r="E107" s="16"/>
      <c r="F107" s="25">
        <f t="shared" si="26"/>
        <v>50</v>
      </c>
      <c r="G107" s="26" t="str">
        <f t="shared" si="27"/>
        <v/>
      </c>
      <c r="H107" s="24" t="str">
        <f t="shared" si="28"/>
        <v>미입력</v>
      </c>
      <c r="I107" s="25">
        <f t="shared" si="29"/>
        <v>65</v>
      </c>
      <c r="J107" s="26" t="str">
        <f t="shared" si="30"/>
        <v/>
      </c>
      <c r="K107" s="24" t="str">
        <f t="shared" si="31"/>
        <v>미입력</v>
      </c>
    </row>
    <row r="108" spans="1:11" ht="17.25" customHeight="1">
      <c r="A108" s="27">
        <v>46369</v>
      </c>
      <c r="B108" s="28" t="s">
        <v>58</v>
      </c>
      <c r="C108" s="16"/>
      <c r="D108" s="16"/>
      <c r="E108" s="16"/>
      <c r="F108" s="29">
        <f t="shared" si="26"/>
        <v>50</v>
      </c>
      <c r="G108" s="30" t="str">
        <f t="shared" si="27"/>
        <v/>
      </c>
      <c r="H108" s="28" t="str">
        <f t="shared" si="28"/>
        <v>미입력</v>
      </c>
      <c r="I108" s="29">
        <f t="shared" si="29"/>
        <v>65</v>
      </c>
      <c r="J108" s="30" t="str">
        <f t="shared" si="30"/>
        <v/>
      </c>
      <c r="K108" s="28" t="str">
        <f t="shared" si="31"/>
        <v>미입력</v>
      </c>
    </row>
    <row r="109" spans="1:11" ht="17.25" customHeight="1">
      <c r="A109" s="14">
        <v>46370</v>
      </c>
      <c r="B109" s="15" t="s">
        <v>60</v>
      </c>
      <c r="C109" s="16"/>
      <c r="D109" s="16"/>
      <c r="E109" s="16"/>
      <c r="F109" s="17">
        <f t="shared" si="26"/>
        <v>50</v>
      </c>
      <c r="G109" s="18" t="str">
        <f t="shared" si="27"/>
        <v/>
      </c>
      <c r="H109" s="15" t="str">
        <f t="shared" si="28"/>
        <v>미입력</v>
      </c>
      <c r="I109" s="17">
        <f t="shared" si="29"/>
        <v>65</v>
      </c>
      <c r="J109" s="18" t="str">
        <f t="shared" si="30"/>
        <v/>
      </c>
      <c r="K109" s="15" t="str">
        <f t="shared" si="31"/>
        <v>미입력</v>
      </c>
    </row>
    <row r="110" spans="1:11" ht="17.25" customHeight="1">
      <c r="A110" s="14">
        <v>46371</v>
      </c>
      <c r="B110" s="15" t="s">
        <v>47</v>
      </c>
      <c r="C110" s="16"/>
      <c r="D110" s="16"/>
      <c r="E110" s="16"/>
      <c r="F110" s="17">
        <f t="shared" si="26"/>
        <v>50</v>
      </c>
      <c r="G110" s="18" t="str">
        <f t="shared" si="27"/>
        <v/>
      </c>
      <c r="H110" s="15" t="str">
        <f t="shared" si="28"/>
        <v>미입력</v>
      </c>
      <c r="I110" s="17">
        <f t="shared" si="29"/>
        <v>65</v>
      </c>
      <c r="J110" s="18" t="str">
        <f t="shared" si="30"/>
        <v/>
      </c>
      <c r="K110" s="15" t="str">
        <f t="shared" si="31"/>
        <v>미입력</v>
      </c>
    </row>
    <row r="111" spans="1:11" ht="17.25" customHeight="1">
      <c r="A111" s="14">
        <v>46372</v>
      </c>
      <c r="B111" s="15" t="s">
        <v>49</v>
      </c>
      <c r="C111" s="16"/>
      <c r="D111" s="16"/>
      <c r="E111" s="16"/>
      <c r="F111" s="17">
        <f t="shared" si="26"/>
        <v>50</v>
      </c>
      <c r="G111" s="18" t="str">
        <f t="shared" si="27"/>
        <v/>
      </c>
      <c r="H111" s="15" t="str">
        <f t="shared" si="28"/>
        <v>미입력</v>
      </c>
      <c r="I111" s="17">
        <f t="shared" si="29"/>
        <v>65</v>
      </c>
      <c r="J111" s="18" t="str">
        <f t="shared" si="30"/>
        <v/>
      </c>
      <c r="K111" s="15" t="str">
        <f t="shared" si="31"/>
        <v>미입력</v>
      </c>
    </row>
    <row r="112" spans="1:11" ht="17.25" customHeight="1">
      <c r="A112" s="14">
        <v>46373</v>
      </c>
      <c r="B112" s="15" t="s">
        <v>51</v>
      </c>
      <c r="C112" s="16"/>
      <c r="D112" s="16"/>
      <c r="E112" s="16"/>
      <c r="F112" s="17">
        <f t="shared" si="26"/>
        <v>50</v>
      </c>
      <c r="G112" s="18" t="str">
        <f t="shared" si="27"/>
        <v/>
      </c>
      <c r="H112" s="15" t="str">
        <f t="shared" si="28"/>
        <v>미입력</v>
      </c>
      <c r="I112" s="17">
        <f t="shared" si="29"/>
        <v>65</v>
      </c>
      <c r="J112" s="18" t="str">
        <f t="shared" si="30"/>
        <v/>
      </c>
      <c r="K112" s="15" t="str">
        <f t="shared" si="31"/>
        <v>미입력</v>
      </c>
    </row>
    <row r="113" spans="1:11" ht="17.25" customHeight="1">
      <c r="A113" s="14">
        <v>46374</v>
      </c>
      <c r="B113" s="15" t="s">
        <v>54</v>
      </c>
      <c r="C113" s="16"/>
      <c r="D113" s="16"/>
      <c r="E113" s="16"/>
      <c r="F113" s="17">
        <f t="shared" si="26"/>
        <v>50</v>
      </c>
      <c r="G113" s="18" t="str">
        <f t="shared" si="27"/>
        <v/>
      </c>
      <c r="H113" s="15" t="str">
        <f t="shared" si="28"/>
        <v>미입력</v>
      </c>
      <c r="I113" s="17">
        <f t="shared" si="29"/>
        <v>65</v>
      </c>
      <c r="J113" s="18" t="str">
        <f t="shared" si="30"/>
        <v/>
      </c>
      <c r="K113" s="15" t="str">
        <f t="shared" si="31"/>
        <v>미입력</v>
      </c>
    </row>
    <row r="114" spans="1:11" ht="17.25" customHeight="1">
      <c r="A114" s="23">
        <v>46375</v>
      </c>
      <c r="B114" s="24" t="s">
        <v>56</v>
      </c>
      <c r="C114" s="16"/>
      <c r="D114" s="16"/>
      <c r="E114" s="16"/>
      <c r="F114" s="25">
        <f t="shared" si="26"/>
        <v>50</v>
      </c>
      <c r="G114" s="26" t="str">
        <f t="shared" si="27"/>
        <v/>
      </c>
      <c r="H114" s="24" t="str">
        <f t="shared" si="28"/>
        <v>미입력</v>
      </c>
      <c r="I114" s="25">
        <f t="shared" si="29"/>
        <v>65</v>
      </c>
      <c r="J114" s="26" t="str">
        <f t="shared" si="30"/>
        <v/>
      </c>
      <c r="K114" s="24" t="str">
        <f t="shared" si="31"/>
        <v>미입력</v>
      </c>
    </row>
    <row r="115" spans="1:11" ht="17.25" customHeight="1">
      <c r="A115" s="27">
        <v>46376</v>
      </c>
      <c r="B115" s="28" t="s">
        <v>58</v>
      </c>
      <c r="C115" s="16"/>
      <c r="D115" s="16"/>
      <c r="E115" s="16"/>
      <c r="F115" s="29">
        <f t="shared" si="26"/>
        <v>50</v>
      </c>
      <c r="G115" s="30" t="str">
        <f t="shared" si="27"/>
        <v/>
      </c>
      <c r="H115" s="28" t="str">
        <f t="shared" si="28"/>
        <v>미입력</v>
      </c>
      <c r="I115" s="29">
        <f t="shared" si="29"/>
        <v>65</v>
      </c>
      <c r="J115" s="30" t="str">
        <f t="shared" si="30"/>
        <v/>
      </c>
      <c r="K115" s="28" t="str">
        <f t="shared" si="31"/>
        <v>미입력</v>
      </c>
    </row>
    <row r="116" spans="1:11" ht="17.25" customHeight="1">
      <c r="A116" s="14">
        <v>46377</v>
      </c>
      <c r="B116" s="15" t="s">
        <v>60</v>
      </c>
      <c r="C116" s="16"/>
      <c r="D116" s="16"/>
      <c r="E116" s="16"/>
      <c r="F116" s="17">
        <f t="shared" si="26"/>
        <v>50</v>
      </c>
      <c r="G116" s="18" t="str">
        <f t="shared" si="27"/>
        <v/>
      </c>
      <c r="H116" s="15" t="str">
        <f t="shared" si="28"/>
        <v>미입력</v>
      </c>
      <c r="I116" s="17">
        <f t="shared" si="29"/>
        <v>65</v>
      </c>
      <c r="J116" s="18" t="str">
        <f t="shared" si="30"/>
        <v/>
      </c>
      <c r="K116" s="15" t="str">
        <f t="shared" si="31"/>
        <v>미입력</v>
      </c>
    </row>
    <row r="117" spans="1:11" ht="17.25" customHeight="1">
      <c r="A117" s="14">
        <v>46378</v>
      </c>
      <c r="B117" s="15" t="s">
        <v>47</v>
      </c>
      <c r="C117" s="16"/>
      <c r="D117" s="16"/>
      <c r="E117" s="16"/>
      <c r="F117" s="17">
        <f t="shared" si="26"/>
        <v>50</v>
      </c>
      <c r="G117" s="18" t="str">
        <f t="shared" si="27"/>
        <v/>
      </c>
      <c r="H117" s="15" t="str">
        <f t="shared" si="28"/>
        <v>미입력</v>
      </c>
      <c r="I117" s="17">
        <f t="shared" si="29"/>
        <v>65</v>
      </c>
      <c r="J117" s="18" t="str">
        <f t="shared" si="30"/>
        <v/>
      </c>
      <c r="K117" s="15" t="str">
        <f t="shared" si="31"/>
        <v>미입력</v>
      </c>
    </row>
    <row r="118" spans="1:11" ht="17.25" customHeight="1">
      <c r="A118" s="14">
        <v>46379</v>
      </c>
      <c r="B118" s="15" t="s">
        <v>49</v>
      </c>
      <c r="C118" s="16"/>
      <c r="D118" s="16"/>
      <c r="E118" s="16"/>
      <c r="F118" s="17">
        <f t="shared" si="26"/>
        <v>50</v>
      </c>
      <c r="G118" s="18" t="str">
        <f t="shared" si="27"/>
        <v/>
      </c>
      <c r="H118" s="15" t="str">
        <f t="shared" si="28"/>
        <v>미입력</v>
      </c>
      <c r="I118" s="17">
        <f t="shared" si="29"/>
        <v>65</v>
      </c>
      <c r="J118" s="18" t="str">
        <f t="shared" si="30"/>
        <v/>
      </c>
      <c r="K118" s="15" t="str">
        <f t="shared" si="31"/>
        <v>미입력</v>
      </c>
    </row>
    <row r="119" spans="1:11" ht="17.25" customHeight="1">
      <c r="A119" s="14">
        <v>46380</v>
      </c>
      <c r="B119" s="15" t="s">
        <v>51</v>
      </c>
      <c r="C119" s="16"/>
      <c r="D119" s="16"/>
      <c r="E119" s="16"/>
      <c r="F119" s="17">
        <f t="shared" si="26"/>
        <v>50</v>
      </c>
      <c r="G119" s="18" t="str">
        <f t="shared" si="27"/>
        <v/>
      </c>
      <c r="H119" s="15" t="str">
        <f t="shared" si="28"/>
        <v>미입력</v>
      </c>
      <c r="I119" s="17">
        <f t="shared" si="29"/>
        <v>65</v>
      </c>
      <c r="J119" s="18" t="str">
        <f t="shared" si="30"/>
        <v/>
      </c>
      <c r="K119" s="15" t="str">
        <f t="shared" si="31"/>
        <v>미입력</v>
      </c>
    </row>
    <row r="120" spans="1:11" ht="17.25" customHeight="1">
      <c r="A120" s="14">
        <v>46381</v>
      </c>
      <c r="B120" s="15" t="s">
        <v>54</v>
      </c>
      <c r="C120" s="16"/>
      <c r="D120" s="16"/>
      <c r="E120" s="16"/>
      <c r="F120" s="17">
        <f t="shared" si="26"/>
        <v>50</v>
      </c>
      <c r="G120" s="18" t="str">
        <f t="shared" si="27"/>
        <v/>
      </c>
      <c r="H120" s="15" t="str">
        <f t="shared" si="28"/>
        <v>미입력</v>
      </c>
      <c r="I120" s="17">
        <f t="shared" si="29"/>
        <v>65</v>
      </c>
      <c r="J120" s="18" t="str">
        <f t="shared" si="30"/>
        <v/>
      </c>
      <c r="K120" s="15" t="str">
        <f t="shared" si="31"/>
        <v>미입력</v>
      </c>
    </row>
    <row r="121" spans="1:11" ht="17.25" customHeight="1">
      <c r="A121" s="23">
        <v>46382</v>
      </c>
      <c r="B121" s="24" t="s">
        <v>56</v>
      </c>
      <c r="C121" s="16"/>
      <c r="D121" s="16"/>
      <c r="E121" s="16"/>
      <c r="F121" s="25">
        <f t="shared" si="26"/>
        <v>50</v>
      </c>
      <c r="G121" s="26" t="str">
        <f t="shared" si="27"/>
        <v/>
      </c>
      <c r="H121" s="24" t="str">
        <f t="shared" si="28"/>
        <v>미입력</v>
      </c>
      <c r="I121" s="25">
        <f t="shared" si="29"/>
        <v>65</v>
      </c>
      <c r="J121" s="26" t="str">
        <f t="shared" si="30"/>
        <v/>
      </c>
      <c r="K121" s="24" t="str">
        <f t="shared" si="31"/>
        <v>미입력</v>
      </c>
    </row>
    <row r="122" spans="1:11" ht="17.25" customHeight="1">
      <c r="A122" s="27">
        <v>46383</v>
      </c>
      <c r="B122" s="28" t="s">
        <v>58</v>
      </c>
      <c r="C122" s="16"/>
      <c r="D122" s="16"/>
      <c r="E122" s="16"/>
      <c r="F122" s="29">
        <f t="shared" si="26"/>
        <v>50</v>
      </c>
      <c r="G122" s="30" t="str">
        <f t="shared" si="27"/>
        <v/>
      </c>
      <c r="H122" s="28" t="str">
        <f t="shared" si="28"/>
        <v>미입력</v>
      </c>
      <c r="I122" s="29">
        <f t="shared" si="29"/>
        <v>65</v>
      </c>
      <c r="J122" s="30" t="str">
        <f t="shared" si="30"/>
        <v/>
      </c>
      <c r="K122" s="28" t="str">
        <f t="shared" si="31"/>
        <v>미입력</v>
      </c>
    </row>
    <row r="123" spans="1:11" ht="17.25" customHeight="1">
      <c r="A123" s="14">
        <v>46384</v>
      </c>
      <c r="B123" s="15" t="s">
        <v>60</v>
      </c>
      <c r="C123" s="16"/>
      <c r="D123" s="16"/>
      <c r="E123" s="16"/>
      <c r="F123" s="17">
        <f t="shared" si="26"/>
        <v>50</v>
      </c>
      <c r="G123" s="18" t="str">
        <f t="shared" si="27"/>
        <v/>
      </c>
      <c r="H123" s="15" t="str">
        <f t="shared" si="28"/>
        <v>미입력</v>
      </c>
      <c r="I123" s="17">
        <f t="shared" si="29"/>
        <v>65</v>
      </c>
      <c r="J123" s="18" t="str">
        <f t="shared" si="30"/>
        <v/>
      </c>
      <c r="K123" s="15" t="str">
        <f t="shared" si="31"/>
        <v>미입력</v>
      </c>
    </row>
    <row r="124" spans="1:11" ht="17.25" customHeight="1">
      <c r="A124" s="14">
        <v>46385</v>
      </c>
      <c r="B124" s="15" t="s">
        <v>47</v>
      </c>
      <c r="C124" s="16"/>
      <c r="D124" s="16"/>
      <c r="E124" s="16"/>
      <c r="F124" s="17">
        <f t="shared" si="26"/>
        <v>50</v>
      </c>
      <c r="G124" s="18" t="str">
        <f t="shared" si="27"/>
        <v/>
      </c>
      <c r="H124" s="15" t="str">
        <f t="shared" si="28"/>
        <v>미입력</v>
      </c>
      <c r="I124" s="17">
        <f t="shared" si="29"/>
        <v>65</v>
      </c>
      <c r="J124" s="18" t="str">
        <f t="shared" si="30"/>
        <v/>
      </c>
      <c r="K124" s="15" t="str">
        <f t="shared" si="31"/>
        <v>미입력</v>
      </c>
    </row>
    <row r="125" spans="1:11" ht="17.25" customHeight="1">
      <c r="A125" s="14">
        <v>46386</v>
      </c>
      <c r="B125" s="15" t="s">
        <v>49</v>
      </c>
      <c r="C125" s="16"/>
      <c r="D125" s="16"/>
      <c r="E125" s="16"/>
      <c r="F125" s="17">
        <f t="shared" si="26"/>
        <v>50</v>
      </c>
      <c r="G125" s="18" t="str">
        <f t="shared" si="27"/>
        <v/>
      </c>
      <c r="H125" s="15" t="str">
        <f t="shared" si="28"/>
        <v>미입력</v>
      </c>
      <c r="I125" s="17">
        <f t="shared" si="29"/>
        <v>65</v>
      </c>
      <c r="J125" s="18" t="str">
        <f t="shared" si="30"/>
        <v/>
      </c>
      <c r="K125" s="15" t="str">
        <f t="shared" si="31"/>
        <v>미입력</v>
      </c>
    </row>
    <row r="126" spans="1:11" ht="17.25" customHeight="1">
      <c r="A126" s="14">
        <v>46387</v>
      </c>
      <c r="B126" s="15" t="s">
        <v>51</v>
      </c>
      <c r="C126" s="16"/>
      <c r="D126" s="16"/>
      <c r="E126" s="16"/>
      <c r="F126" s="17">
        <f t="shared" si="26"/>
        <v>50</v>
      </c>
      <c r="G126" s="18" t="str">
        <f t="shared" si="27"/>
        <v/>
      </c>
      <c r="H126" s="15" t="str">
        <f t="shared" si="28"/>
        <v>미입력</v>
      </c>
      <c r="I126" s="17">
        <f t="shared" si="29"/>
        <v>65</v>
      </c>
      <c r="J126" s="18" t="str">
        <f t="shared" si="30"/>
        <v/>
      </c>
      <c r="K126" s="15" t="str">
        <f t="shared" si="31"/>
        <v>미입력</v>
      </c>
    </row>
  </sheetData>
  <mergeCells count="5">
    <mergeCell ref="A1:K1"/>
    <mergeCell ref="M1:X1"/>
    <mergeCell ref="H2:K2"/>
    <mergeCell ref="A3:K3"/>
    <mergeCell ref="M3:X3"/>
  </mergeCells>
  <phoneticPr fontId="19" type="noConversion"/>
  <conditionalFormatting sqref="A5:B126">
    <cfRule type="expression" dxfId="80" priority="14">
      <formula>$A5=TODAY()</formula>
    </cfRule>
  </conditionalFormatting>
  <conditionalFormatting sqref="H5:H126">
    <cfRule type="expression" dxfId="79" priority="2">
      <formula>H5="달성"</formula>
    </cfRule>
    <cfRule type="expression" dxfId="78" priority="3">
      <formula>H5="미달"</formula>
    </cfRule>
    <cfRule type="expression" dxfId="77" priority="4">
      <formula>H5="미입력"</formula>
    </cfRule>
  </conditionalFormatting>
  <conditionalFormatting sqref="K5:K126">
    <cfRule type="expression" dxfId="76" priority="5">
      <formula>K5="달성"</formula>
    </cfRule>
    <cfRule type="expression" dxfId="75" priority="6">
      <formula>K5="미달"</formula>
    </cfRule>
    <cfRule type="expression" dxfId="74" priority="7">
      <formula>K5="미입력"</formula>
    </cfRule>
  </conditionalFormatting>
  <conditionalFormatting sqref="S5:S24">
    <cfRule type="expression" dxfId="73" priority="8">
      <formula>S5="달성"</formula>
    </cfRule>
    <cfRule type="expression" dxfId="72" priority="9">
      <formula>S5="미달"</formula>
    </cfRule>
    <cfRule type="expression" dxfId="71" priority="10">
      <formula>S5="미입력"</formula>
    </cfRule>
  </conditionalFormatting>
  <conditionalFormatting sqref="W5:W24">
    <cfRule type="expression" dxfId="70" priority="11">
      <formula>W5="달성"</formula>
    </cfRule>
    <cfRule type="expression" dxfId="69" priority="12">
      <formula>W5="미달"</formula>
    </cfRule>
    <cfRule type="expression" dxfId="68" priority="13">
      <formula>W5="미입력"</formula>
    </cfRule>
  </conditionalFormatting>
  <dataValidations count="1">
    <dataValidation type="list" allowBlank="1" sqref="E5:E126" xr:uid="{00000000-0002-0000-0100-000000000000}">
      <formula1>"휴무,연차,오전반차,오후반차,입사전,기타"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X126"/>
  <sheetViews>
    <sheetView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X10" sqref="X10"/>
    </sheetView>
  </sheetViews>
  <sheetFormatPr defaultColWidth="8.7109375" defaultRowHeight="18" customHeight="1"/>
  <cols>
    <col min="1" max="1" width="12" customWidth="1"/>
    <col min="2" max="2" width="6" customWidth="1"/>
    <col min="3" max="6" width="10" customWidth="1"/>
    <col min="7" max="7" width="11" customWidth="1"/>
    <col min="8" max="8" width="13" customWidth="1"/>
    <col min="9" max="9" width="10" customWidth="1"/>
    <col min="10" max="10" width="11" customWidth="1"/>
    <col min="11" max="11" width="13" customWidth="1"/>
    <col min="12" max="12" width="2" customWidth="1"/>
    <col min="13" max="13" width="11" customWidth="1"/>
    <col min="14" max="15" width="9" customWidth="1"/>
    <col min="16" max="16" width="10" customWidth="1"/>
    <col min="17" max="17" width="13" customWidth="1"/>
    <col min="18" max="18" width="11" customWidth="1"/>
    <col min="19" max="19" width="13" customWidth="1"/>
    <col min="20" max="20" width="10" customWidth="1"/>
    <col min="21" max="21" width="13" customWidth="1"/>
    <col min="22" max="22" width="11" customWidth="1"/>
    <col min="23" max="23" width="13" customWidth="1"/>
    <col min="24" max="24" width="60" customWidth="1"/>
  </cols>
  <sheetData>
    <row r="1" spans="1:24" ht="18" customHeight="1">
      <c r="A1" s="57" t="s">
        <v>75</v>
      </c>
      <c r="B1" s="57"/>
      <c r="C1" s="57"/>
      <c r="D1" s="57"/>
      <c r="E1" s="57"/>
      <c r="F1" s="57"/>
      <c r="G1" s="57"/>
      <c r="H1" s="57"/>
      <c r="I1" s="57"/>
      <c r="J1" s="57"/>
      <c r="K1" s="57"/>
      <c r="M1" s="58" t="s">
        <v>76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8" customHeight="1">
      <c r="A2" s="10" t="s">
        <v>26</v>
      </c>
      <c r="B2" s="11" t="s">
        <v>27</v>
      </c>
      <c r="C2" s="10" t="s">
        <v>28</v>
      </c>
      <c r="D2" s="11">
        <v>50</v>
      </c>
      <c r="E2" s="10" t="s">
        <v>29</v>
      </c>
      <c r="F2" s="11">
        <v>65</v>
      </c>
      <c r="G2" s="12"/>
      <c r="H2" s="59"/>
      <c r="I2" s="59"/>
      <c r="J2" s="59"/>
      <c r="K2" s="59"/>
    </row>
    <row r="3" spans="1:24" ht="18" customHeight="1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s="60" t="s">
        <v>31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8" customHeight="1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28</v>
      </c>
      <c r="G4" s="10" t="s">
        <v>37</v>
      </c>
      <c r="H4" s="10" t="s">
        <v>38</v>
      </c>
      <c r="I4" s="10" t="s">
        <v>29</v>
      </c>
      <c r="J4" s="10" t="s">
        <v>39</v>
      </c>
      <c r="K4" s="10" t="s">
        <v>40</v>
      </c>
      <c r="M4" s="13" t="s">
        <v>41</v>
      </c>
      <c r="N4" s="13" t="s">
        <v>42</v>
      </c>
      <c r="O4" s="13" t="s">
        <v>43</v>
      </c>
      <c r="P4" s="13" t="s">
        <v>28</v>
      </c>
      <c r="Q4" s="13" t="s">
        <v>44</v>
      </c>
      <c r="R4" s="13" t="s">
        <v>37</v>
      </c>
      <c r="S4" s="13" t="s">
        <v>38</v>
      </c>
      <c r="T4" s="13" t="s">
        <v>29</v>
      </c>
      <c r="U4" s="13" t="s">
        <v>45</v>
      </c>
      <c r="V4" s="13" t="s">
        <v>39</v>
      </c>
      <c r="W4" s="13" t="s">
        <v>40</v>
      </c>
      <c r="X4" s="13" t="s">
        <v>46</v>
      </c>
    </row>
    <row r="5" spans="1:24" ht="18" customHeight="1">
      <c r="A5" s="14">
        <v>46266</v>
      </c>
      <c r="B5" s="15" t="s">
        <v>47</v>
      </c>
      <c r="C5" s="16"/>
      <c r="D5" s="16"/>
      <c r="E5" s="16"/>
      <c r="F5" s="17">
        <f t="shared" ref="F5:F36" si="0">IF(OR($E5="오전반차",$E5="오후반차"),$D$2/2,$D$2)</f>
        <v>50</v>
      </c>
      <c r="G5" s="18" t="str">
        <f t="shared" ref="G5:G36" si="1">IF($C5="","",$C5/$F5)</f>
        <v/>
      </c>
      <c r="H5" s="15" t="str">
        <f t="shared" ref="H5:H36" si="2">IF($C5="",IF($E5="","미입력",$E5),IF($C5&gt;=$F5,"달성","미달"))</f>
        <v>미입력</v>
      </c>
      <c r="I5" s="17">
        <f t="shared" ref="I5:I36" si="3">IF(OR($E5="오전반차",$E5="오후반차"),$F$2/2,$F$2)</f>
        <v>65</v>
      </c>
      <c r="J5" s="18" t="str">
        <f t="shared" ref="J5:J36" si="4">IF($D5="","",$D5/$I5)</f>
        <v/>
      </c>
      <c r="K5" s="15" t="str">
        <f t="shared" ref="K5:K36" si="5">IF($D5="",IF($E5="","미입력",$E5),IF($D5&gt;=$I5,"달성","미달"))</f>
        <v>미입력</v>
      </c>
      <c r="M5" s="1" t="s">
        <v>48</v>
      </c>
      <c r="N5" s="19">
        <v>46266</v>
      </c>
      <c r="O5" s="19">
        <v>46271</v>
      </c>
      <c r="P5" s="17" t="str">
        <f t="shared" ref="P5:P24" si="6">IFERROR(SUMPRODUCT(($A$5:$A$126&gt;=$N5)*($A$5:$A$126&lt;=$O5)*ISNUMBER($C$5:$C$126)*$F$5:$F$126)/SUMPRODUCT(($A$5:$A$126&gt;=$N5)*($A$5:$A$126&lt;=$O5)*ISNUMBER($C$5:$C$126)),"")</f>
        <v/>
      </c>
      <c r="Q5" s="20" t="str">
        <f t="shared" ref="Q5:Q24" si="7">IFERROR(AVERAGEIFS($C$5:$C$126,$A$5:$A$126,"&gt;="&amp;$N5,$A$5:$A$126,"&lt;="&amp;$O5),"")</f>
        <v/>
      </c>
      <c r="R5" s="18" t="str">
        <f t="shared" ref="R5:R24" si="8">IF(OR($Q5="",$P5=""),"",$Q5/$P5)</f>
        <v/>
      </c>
      <c r="S5" s="15" t="str">
        <f t="shared" ref="S5:S24" si="9">IF(OR($Q5="",$P5=""),"미입력",IF($Q5&gt;=$P5,"달성","미달"))</f>
        <v>미입력</v>
      </c>
      <c r="T5" s="17" t="str">
        <f t="shared" ref="T5:T24" si="10">IFERROR(SUMPRODUCT(($A$5:$A$126&gt;=$N5)*($A$5:$A$126&lt;=$O5)*ISNUMBER($D$5:$D$126)*$I$5:$I$126)/SUMPRODUCT(($A$5:$A$126&gt;=$N5)*($A$5:$A$126&lt;=$O5)*ISNUMBER($D$5:$D$126)),"")</f>
        <v/>
      </c>
      <c r="U5" s="20" t="str">
        <f t="shared" ref="U5:U24" si="11">IFERROR(AVERAGEIFS($D$5:$D$126,$A$5:$A$126,"&gt;="&amp;$N5,$A$5:$A$126,"&lt;="&amp;$O5),"")</f>
        <v/>
      </c>
      <c r="V5" s="18" t="str">
        <f t="shared" ref="V5:V24" si="12">IF(OR($U5="",$T5=""),"",$U5/$T5)</f>
        <v/>
      </c>
      <c r="W5" s="15" t="str">
        <f t="shared" ref="W5:W24" si="13">IF(OR($U5="",$T5=""),"미입력",IF($U5&gt;=$T5,"달성","미달"))</f>
        <v>미입력</v>
      </c>
      <c r="X5" s="21"/>
    </row>
    <row r="6" spans="1:24" ht="18" customHeight="1">
      <c r="A6" s="14">
        <v>46267</v>
      </c>
      <c r="B6" s="15" t="s">
        <v>49</v>
      </c>
      <c r="C6" s="16"/>
      <c r="D6" s="16"/>
      <c r="E6" s="16"/>
      <c r="F6" s="17">
        <f t="shared" si="0"/>
        <v>50</v>
      </c>
      <c r="G6" s="18" t="str">
        <f t="shared" si="1"/>
        <v/>
      </c>
      <c r="H6" s="15" t="str">
        <f t="shared" si="2"/>
        <v>미입력</v>
      </c>
      <c r="I6" s="17">
        <f t="shared" si="3"/>
        <v>65</v>
      </c>
      <c r="J6" s="18" t="str">
        <f t="shared" si="4"/>
        <v/>
      </c>
      <c r="K6" s="15" t="str">
        <f t="shared" si="5"/>
        <v>미입력</v>
      </c>
      <c r="M6" s="1" t="s">
        <v>50</v>
      </c>
      <c r="N6" s="19">
        <v>46272</v>
      </c>
      <c r="O6" s="19">
        <v>46278</v>
      </c>
      <c r="P6" s="17" t="str">
        <f t="shared" si="6"/>
        <v/>
      </c>
      <c r="Q6" s="20" t="str">
        <f t="shared" si="7"/>
        <v/>
      </c>
      <c r="R6" s="18" t="str">
        <f t="shared" si="8"/>
        <v/>
      </c>
      <c r="S6" s="15" t="str">
        <f t="shared" si="9"/>
        <v>미입력</v>
      </c>
      <c r="T6" s="17" t="str">
        <f t="shared" si="10"/>
        <v/>
      </c>
      <c r="U6" s="20" t="str">
        <f t="shared" si="11"/>
        <v/>
      </c>
      <c r="V6" s="18" t="str">
        <f t="shared" si="12"/>
        <v/>
      </c>
      <c r="W6" s="15" t="str">
        <f t="shared" si="13"/>
        <v>미입력</v>
      </c>
      <c r="X6" s="21"/>
    </row>
    <row r="7" spans="1:24" ht="18" customHeight="1">
      <c r="A7" s="14">
        <v>46268</v>
      </c>
      <c r="B7" s="15" t="s">
        <v>51</v>
      </c>
      <c r="C7" s="16"/>
      <c r="D7" s="16"/>
      <c r="E7" s="16"/>
      <c r="F7" s="17">
        <f t="shared" si="0"/>
        <v>50</v>
      </c>
      <c r="G7" s="18" t="str">
        <f t="shared" si="1"/>
        <v/>
      </c>
      <c r="H7" s="15" t="str">
        <f t="shared" si="2"/>
        <v>미입력</v>
      </c>
      <c r="I7" s="17">
        <f t="shared" si="3"/>
        <v>65</v>
      </c>
      <c r="J7" s="18" t="str">
        <f t="shared" si="4"/>
        <v/>
      </c>
      <c r="K7" s="15" t="str">
        <f t="shared" si="5"/>
        <v>미입력</v>
      </c>
      <c r="M7" s="1" t="s">
        <v>53</v>
      </c>
      <c r="N7" s="19">
        <v>46279</v>
      </c>
      <c r="O7" s="19">
        <v>46285</v>
      </c>
      <c r="P7" s="17" t="str">
        <f t="shared" si="6"/>
        <v/>
      </c>
      <c r="Q7" s="20" t="str">
        <f t="shared" si="7"/>
        <v/>
      </c>
      <c r="R7" s="18" t="str">
        <f t="shared" si="8"/>
        <v/>
      </c>
      <c r="S7" s="15" t="str">
        <f t="shared" si="9"/>
        <v>미입력</v>
      </c>
      <c r="T7" s="17" t="str">
        <f t="shared" si="10"/>
        <v/>
      </c>
      <c r="U7" s="20" t="str">
        <f t="shared" si="11"/>
        <v/>
      </c>
      <c r="V7" s="18" t="str">
        <f t="shared" si="12"/>
        <v/>
      </c>
      <c r="W7" s="15" t="str">
        <f t="shared" si="13"/>
        <v>미입력</v>
      </c>
      <c r="X7" s="21"/>
    </row>
    <row r="8" spans="1:24" ht="18" customHeight="1">
      <c r="A8" s="14">
        <v>46269</v>
      </c>
      <c r="B8" s="15" t="s">
        <v>54</v>
      </c>
      <c r="C8" s="16"/>
      <c r="D8" s="16"/>
      <c r="E8" s="16"/>
      <c r="F8" s="17">
        <f t="shared" si="0"/>
        <v>50</v>
      </c>
      <c r="G8" s="18" t="str">
        <f t="shared" si="1"/>
        <v/>
      </c>
      <c r="H8" s="15" t="str">
        <f t="shared" si="2"/>
        <v>미입력</v>
      </c>
      <c r="I8" s="17">
        <f t="shared" si="3"/>
        <v>65</v>
      </c>
      <c r="J8" s="18" t="str">
        <f t="shared" si="4"/>
        <v/>
      </c>
      <c r="K8" s="15" t="str">
        <f t="shared" si="5"/>
        <v>미입력</v>
      </c>
      <c r="M8" s="1" t="s">
        <v>55</v>
      </c>
      <c r="N8" s="19">
        <v>46286</v>
      </c>
      <c r="O8" s="19">
        <v>46292</v>
      </c>
      <c r="P8" s="17" t="str">
        <f t="shared" si="6"/>
        <v/>
      </c>
      <c r="Q8" s="20" t="str">
        <f t="shared" si="7"/>
        <v/>
      </c>
      <c r="R8" s="18" t="str">
        <f t="shared" si="8"/>
        <v/>
      </c>
      <c r="S8" s="15" t="str">
        <f t="shared" si="9"/>
        <v>미입력</v>
      </c>
      <c r="T8" s="17" t="str">
        <f t="shared" si="10"/>
        <v/>
      </c>
      <c r="U8" s="20" t="str">
        <f t="shared" si="11"/>
        <v/>
      </c>
      <c r="V8" s="18" t="str">
        <f t="shared" si="12"/>
        <v/>
      </c>
      <c r="W8" s="15" t="str">
        <f t="shared" si="13"/>
        <v>미입력</v>
      </c>
      <c r="X8" s="21"/>
    </row>
    <row r="9" spans="1:24" ht="18" customHeight="1">
      <c r="A9" s="23">
        <v>46270</v>
      </c>
      <c r="B9" s="24" t="s">
        <v>56</v>
      </c>
      <c r="C9" s="16"/>
      <c r="D9" s="16"/>
      <c r="E9" s="16"/>
      <c r="F9" s="25">
        <f t="shared" si="0"/>
        <v>50</v>
      </c>
      <c r="G9" s="26" t="str">
        <f t="shared" si="1"/>
        <v/>
      </c>
      <c r="H9" s="24" t="str">
        <f t="shared" si="2"/>
        <v>미입력</v>
      </c>
      <c r="I9" s="25">
        <f t="shared" si="3"/>
        <v>65</v>
      </c>
      <c r="J9" s="26" t="str">
        <f t="shared" si="4"/>
        <v/>
      </c>
      <c r="K9" s="24" t="str">
        <f t="shared" si="5"/>
        <v>미입력</v>
      </c>
      <c r="M9" s="1" t="s">
        <v>57</v>
      </c>
      <c r="N9" s="19">
        <v>46293</v>
      </c>
      <c r="O9" s="19">
        <v>46299</v>
      </c>
      <c r="P9" s="17">
        <f t="shared" si="6"/>
        <v>50</v>
      </c>
      <c r="Q9" s="20">
        <f t="shared" si="7"/>
        <v>37.75</v>
      </c>
      <c r="R9" s="18">
        <f t="shared" si="8"/>
        <v>0.755</v>
      </c>
      <c r="S9" s="15" t="str">
        <f t="shared" si="9"/>
        <v>미달</v>
      </c>
      <c r="T9" s="17">
        <f t="shared" si="10"/>
        <v>65</v>
      </c>
      <c r="U9" s="20">
        <f t="shared" si="11"/>
        <v>48.75</v>
      </c>
      <c r="V9" s="18">
        <f t="shared" si="12"/>
        <v>0.75</v>
      </c>
      <c r="W9" s="15" t="str">
        <f t="shared" si="13"/>
        <v>미달</v>
      </c>
      <c r="X9" s="21" t="s">
        <v>142</v>
      </c>
    </row>
    <row r="10" spans="1:24" ht="18" customHeight="1">
      <c r="A10" s="27">
        <v>46271</v>
      </c>
      <c r="B10" s="28" t="s">
        <v>58</v>
      </c>
      <c r="C10" s="16"/>
      <c r="D10" s="16"/>
      <c r="E10" s="16"/>
      <c r="F10" s="29">
        <f t="shared" si="0"/>
        <v>50</v>
      </c>
      <c r="G10" s="30" t="str">
        <f t="shared" si="1"/>
        <v/>
      </c>
      <c r="H10" s="28" t="str">
        <f t="shared" si="2"/>
        <v>미입력</v>
      </c>
      <c r="I10" s="29">
        <f t="shared" si="3"/>
        <v>65</v>
      </c>
      <c r="J10" s="30" t="str">
        <f t="shared" si="4"/>
        <v/>
      </c>
      <c r="K10" s="28" t="str">
        <f t="shared" si="5"/>
        <v>미입력</v>
      </c>
      <c r="M10" s="1" t="s">
        <v>136</v>
      </c>
      <c r="N10" s="19">
        <v>46300</v>
      </c>
      <c r="O10" s="19">
        <v>46306</v>
      </c>
      <c r="P10" s="17" t="str">
        <f t="shared" si="6"/>
        <v/>
      </c>
      <c r="Q10" s="20" t="str">
        <f t="shared" si="7"/>
        <v/>
      </c>
      <c r="R10" s="18" t="str">
        <f t="shared" si="8"/>
        <v/>
      </c>
      <c r="S10" s="15" t="str">
        <f t="shared" si="9"/>
        <v>미입력</v>
      </c>
      <c r="T10" s="17" t="str">
        <f t="shared" si="10"/>
        <v/>
      </c>
      <c r="U10" s="20" t="str">
        <f t="shared" si="11"/>
        <v/>
      </c>
      <c r="V10" s="18" t="str">
        <f t="shared" si="12"/>
        <v/>
      </c>
      <c r="W10" s="15" t="str">
        <f t="shared" si="13"/>
        <v>미입력</v>
      </c>
      <c r="X10" s="21"/>
    </row>
    <row r="11" spans="1:24" ht="18" customHeight="1">
      <c r="A11" s="14">
        <v>46272</v>
      </c>
      <c r="B11" s="15" t="s">
        <v>60</v>
      </c>
      <c r="C11" s="16"/>
      <c r="D11" s="16"/>
      <c r="E11" s="16"/>
      <c r="F11" s="17">
        <f t="shared" si="0"/>
        <v>50</v>
      </c>
      <c r="G11" s="18" t="str">
        <f t="shared" si="1"/>
        <v/>
      </c>
      <c r="H11" s="15" t="str">
        <f t="shared" si="2"/>
        <v>미입력</v>
      </c>
      <c r="I11" s="17">
        <f t="shared" si="3"/>
        <v>65</v>
      </c>
      <c r="J11" s="18" t="str">
        <f t="shared" si="4"/>
        <v/>
      </c>
      <c r="K11" s="15" t="str">
        <f t="shared" si="5"/>
        <v>미입력</v>
      </c>
      <c r="M11" s="1" t="s">
        <v>137</v>
      </c>
      <c r="N11" s="19">
        <v>46302</v>
      </c>
      <c r="O11" s="19">
        <v>46308</v>
      </c>
      <c r="P11" s="17" t="str">
        <f t="shared" si="6"/>
        <v/>
      </c>
      <c r="Q11" s="20" t="str">
        <f t="shared" si="7"/>
        <v/>
      </c>
      <c r="R11" s="18" t="str">
        <f t="shared" si="8"/>
        <v/>
      </c>
      <c r="S11" s="15" t="str">
        <f t="shared" si="9"/>
        <v>미입력</v>
      </c>
      <c r="T11" s="17" t="str">
        <f t="shared" si="10"/>
        <v/>
      </c>
      <c r="U11" s="20" t="str">
        <f t="shared" si="11"/>
        <v/>
      </c>
      <c r="V11" s="18" t="str">
        <f t="shared" si="12"/>
        <v/>
      </c>
      <c r="W11" s="15" t="str">
        <f t="shared" si="13"/>
        <v>미입력</v>
      </c>
      <c r="X11" s="21"/>
    </row>
    <row r="12" spans="1:24" ht="18" customHeight="1">
      <c r="A12" s="14">
        <v>46273</v>
      </c>
      <c r="B12" s="15" t="s">
        <v>47</v>
      </c>
      <c r="C12" s="16"/>
      <c r="D12" s="16"/>
      <c r="E12" s="16"/>
      <c r="F12" s="17">
        <f t="shared" si="0"/>
        <v>50</v>
      </c>
      <c r="G12" s="18" t="str">
        <f t="shared" si="1"/>
        <v/>
      </c>
      <c r="H12" s="15" t="str">
        <f t="shared" si="2"/>
        <v>미입력</v>
      </c>
      <c r="I12" s="17">
        <f t="shared" si="3"/>
        <v>65</v>
      </c>
      <c r="J12" s="18" t="str">
        <f t="shared" si="4"/>
        <v/>
      </c>
      <c r="K12" s="15" t="str">
        <f t="shared" si="5"/>
        <v>미입력</v>
      </c>
      <c r="M12" s="1" t="s">
        <v>138</v>
      </c>
      <c r="N12" s="19">
        <v>46309</v>
      </c>
      <c r="O12" s="19">
        <v>46315</v>
      </c>
      <c r="P12" s="17" t="str">
        <f t="shared" si="6"/>
        <v/>
      </c>
      <c r="Q12" s="20" t="str">
        <f t="shared" si="7"/>
        <v/>
      </c>
      <c r="R12" s="18" t="str">
        <f t="shared" si="8"/>
        <v/>
      </c>
      <c r="S12" s="15" t="str">
        <f t="shared" si="9"/>
        <v>미입력</v>
      </c>
      <c r="T12" s="17" t="str">
        <f t="shared" si="10"/>
        <v/>
      </c>
      <c r="U12" s="20" t="str">
        <f t="shared" si="11"/>
        <v/>
      </c>
      <c r="V12" s="18" t="str">
        <f t="shared" si="12"/>
        <v/>
      </c>
      <c r="W12" s="15" t="str">
        <f t="shared" si="13"/>
        <v>미입력</v>
      </c>
      <c r="X12" s="21"/>
    </row>
    <row r="13" spans="1:24" ht="18" customHeight="1">
      <c r="A13" s="14">
        <v>46274</v>
      </c>
      <c r="B13" s="15" t="s">
        <v>49</v>
      </c>
      <c r="C13" s="16"/>
      <c r="D13" s="16"/>
      <c r="E13" s="16"/>
      <c r="F13" s="17">
        <f t="shared" si="0"/>
        <v>50</v>
      </c>
      <c r="G13" s="18" t="str">
        <f t="shared" si="1"/>
        <v/>
      </c>
      <c r="H13" s="15" t="str">
        <f t="shared" si="2"/>
        <v>미입력</v>
      </c>
      <c r="I13" s="17">
        <f t="shared" si="3"/>
        <v>65</v>
      </c>
      <c r="J13" s="18" t="str">
        <f t="shared" si="4"/>
        <v/>
      </c>
      <c r="K13" s="15" t="str">
        <f t="shared" si="5"/>
        <v>미입력</v>
      </c>
      <c r="M13" s="1" t="s">
        <v>139</v>
      </c>
      <c r="N13" s="19">
        <v>46316</v>
      </c>
      <c r="O13" s="19">
        <v>46322</v>
      </c>
      <c r="P13" s="17" t="str">
        <f t="shared" si="6"/>
        <v/>
      </c>
      <c r="Q13" s="20" t="str">
        <f t="shared" si="7"/>
        <v/>
      </c>
      <c r="R13" s="18" t="str">
        <f t="shared" si="8"/>
        <v/>
      </c>
      <c r="S13" s="15" t="str">
        <f t="shared" si="9"/>
        <v>미입력</v>
      </c>
      <c r="T13" s="17" t="str">
        <f t="shared" si="10"/>
        <v/>
      </c>
      <c r="U13" s="20" t="str">
        <f t="shared" si="11"/>
        <v/>
      </c>
      <c r="V13" s="18" t="str">
        <f t="shared" si="12"/>
        <v/>
      </c>
      <c r="W13" s="15" t="str">
        <f t="shared" si="13"/>
        <v>미입력</v>
      </c>
      <c r="X13" s="21"/>
    </row>
    <row r="14" spans="1:24" ht="18" customHeight="1">
      <c r="A14" s="14">
        <v>46275</v>
      </c>
      <c r="B14" s="15" t="s">
        <v>51</v>
      </c>
      <c r="C14" s="16"/>
      <c r="D14" s="16"/>
      <c r="E14" s="16"/>
      <c r="F14" s="17">
        <f t="shared" si="0"/>
        <v>50</v>
      </c>
      <c r="G14" s="18" t="str">
        <f t="shared" si="1"/>
        <v/>
      </c>
      <c r="H14" s="15" t="str">
        <f t="shared" si="2"/>
        <v>미입력</v>
      </c>
      <c r="I14" s="17">
        <f t="shared" si="3"/>
        <v>65</v>
      </c>
      <c r="J14" s="18" t="str">
        <f t="shared" si="4"/>
        <v/>
      </c>
      <c r="K14" s="15" t="str">
        <f t="shared" si="5"/>
        <v>미입력</v>
      </c>
      <c r="M14" s="1"/>
      <c r="N14" s="19">
        <v>46323</v>
      </c>
      <c r="O14" s="19">
        <v>46326</v>
      </c>
      <c r="P14" s="17" t="str">
        <f t="shared" si="6"/>
        <v/>
      </c>
      <c r="Q14" s="20" t="str">
        <f t="shared" si="7"/>
        <v/>
      </c>
      <c r="R14" s="18" t="str">
        <f t="shared" si="8"/>
        <v/>
      </c>
      <c r="S14" s="15" t="str">
        <f t="shared" si="9"/>
        <v>미입력</v>
      </c>
      <c r="T14" s="17" t="str">
        <f t="shared" si="10"/>
        <v/>
      </c>
      <c r="U14" s="20" t="str">
        <f t="shared" si="11"/>
        <v/>
      </c>
      <c r="V14" s="18" t="str">
        <f t="shared" si="12"/>
        <v/>
      </c>
      <c r="W14" s="15" t="str">
        <f t="shared" si="13"/>
        <v>미입력</v>
      </c>
      <c r="X14" s="21"/>
    </row>
    <row r="15" spans="1:24" ht="18" customHeight="1">
      <c r="A15" s="14">
        <v>46276</v>
      </c>
      <c r="B15" s="15" t="s">
        <v>54</v>
      </c>
      <c r="C15" s="16"/>
      <c r="D15" s="16"/>
      <c r="E15" s="16"/>
      <c r="F15" s="17">
        <f t="shared" si="0"/>
        <v>50</v>
      </c>
      <c r="G15" s="18" t="str">
        <f t="shared" si="1"/>
        <v/>
      </c>
      <c r="H15" s="15" t="str">
        <f t="shared" si="2"/>
        <v>미입력</v>
      </c>
      <c r="I15" s="17">
        <f t="shared" si="3"/>
        <v>65</v>
      </c>
      <c r="J15" s="18" t="str">
        <f t="shared" si="4"/>
        <v/>
      </c>
      <c r="K15" s="15" t="str">
        <f t="shared" si="5"/>
        <v>미입력</v>
      </c>
      <c r="M15" s="1" t="s">
        <v>65</v>
      </c>
      <c r="N15" s="19">
        <v>46327</v>
      </c>
      <c r="O15" s="19">
        <v>46332</v>
      </c>
      <c r="P15" s="17" t="str">
        <f t="shared" si="6"/>
        <v/>
      </c>
      <c r="Q15" s="20" t="str">
        <f t="shared" si="7"/>
        <v/>
      </c>
      <c r="R15" s="18" t="str">
        <f t="shared" si="8"/>
        <v/>
      </c>
      <c r="S15" s="15" t="str">
        <f t="shared" si="9"/>
        <v>미입력</v>
      </c>
      <c r="T15" s="17" t="str">
        <f t="shared" si="10"/>
        <v/>
      </c>
      <c r="U15" s="20" t="str">
        <f t="shared" si="11"/>
        <v/>
      </c>
      <c r="V15" s="18" t="str">
        <f t="shared" si="12"/>
        <v/>
      </c>
      <c r="W15" s="15" t="str">
        <f t="shared" si="13"/>
        <v>미입력</v>
      </c>
      <c r="X15" s="21"/>
    </row>
    <row r="16" spans="1:24" ht="18" customHeight="1">
      <c r="A16" s="23">
        <v>46277</v>
      </c>
      <c r="B16" s="24" t="s">
        <v>56</v>
      </c>
      <c r="C16" s="16"/>
      <c r="D16" s="16"/>
      <c r="E16" s="16"/>
      <c r="F16" s="25">
        <f t="shared" si="0"/>
        <v>50</v>
      </c>
      <c r="G16" s="26" t="str">
        <f t="shared" si="1"/>
        <v/>
      </c>
      <c r="H16" s="24" t="str">
        <f t="shared" si="2"/>
        <v>미입력</v>
      </c>
      <c r="I16" s="25">
        <f t="shared" si="3"/>
        <v>65</v>
      </c>
      <c r="J16" s="26" t="str">
        <f t="shared" si="4"/>
        <v/>
      </c>
      <c r="K16" s="24" t="str">
        <f t="shared" si="5"/>
        <v>미입력</v>
      </c>
      <c r="M16" s="1" t="s">
        <v>66</v>
      </c>
      <c r="N16" s="19">
        <v>46333</v>
      </c>
      <c r="O16" s="19">
        <v>46339</v>
      </c>
      <c r="P16" s="17" t="str">
        <f t="shared" si="6"/>
        <v/>
      </c>
      <c r="Q16" s="20" t="str">
        <f t="shared" si="7"/>
        <v/>
      </c>
      <c r="R16" s="18" t="str">
        <f t="shared" si="8"/>
        <v/>
      </c>
      <c r="S16" s="15" t="str">
        <f t="shared" si="9"/>
        <v>미입력</v>
      </c>
      <c r="T16" s="17" t="str">
        <f t="shared" si="10"/>
        <v/>
      </c>
      <c r="U16" s="20" t="str">
        <f t="shared" si="11"/>
        <v/>
      </c>
      <c r="V16" s="18" t="str">
        <f t="shared" si="12"/>
        <v/>
      </c>
      <c r="W16" s="15" t="str">
        <f t="shared" si="13"/>
        <v>미입력</v>
      </c>
      <c r="X16" s="21"/>
    </row>
    <row r="17" spans="1:24" ht="18" customHeight="1">
      <c r="A17" s="27">
        <v>46278</v>
      </c>
      <c r="B17" s="28" t="s">
        <v>58</v>
      </c>
      <c r="C17" s="16"/>
      <c r="D17" s="16"/>
      <c r="E17" s="16"/>
      <c r="F17" s="29">
        <f t="shared" si="0"/>
        <v>50</v>
      </c>
      <c r="G17" s="30" t="str">
        <f t="shared" si="1"/>
        <v/>
      </c>
      <c r="H17" s="28" t="str">
        <f t="shared" si="2"/>
        <v>미입력</v>
      </c>
      <c r="I17" s="29">
        <f t="shared" si="3"/>
        <v>65</v>
      </c>
      <c r="J17" s="30" t="str">
        <f t="shared" si="4"/>
        <v/>
      </c>
      <c r="K17" s="28" t="str">
        <f t="shared" si="5"/>
        <v>미입력</v>
      </c>
      <c r="M17" s="1" t="s">
        <v>67</v>
      </c>
      <c r="N17" s="19">
        <v>46340</v>
      </c>
      <c r="O17" s="19">
        <v>46346</v>
      </c>
      <c r="P17" s="17" t="str">
        <f t="shared" si="6"/>
        <v/>
      </c>
      <c r="Q17" s="20" t="str">
        <f t="shared" si="7"/>
        <v/>
      </c>
      <c r="R17" s="18" t="str">
        <f t="shared" si="8"/>
        <v/>
      </c>
      <c r="S17" s="15" t="str">
        <f t="shared" si="9"/>
        <v>미입력</v>
      </c>
      <c r="T17" s="17" t="str">
        <f t="shared" si="10"/>
        <v/>
      </c>
      <c r="U17" s="20" t="str">
        <f t="shared" si="11"/>
        <v/>
      </c>
      <c r="V17" s="18" t="str">
        <f t="shared" si="12"/>
        <v/>
      </c>
      <c r="W17" s="15" t="str">
        <f t="shared" si="13"/>
        <v>미입력</v>
      </c>
      <c r="X17" s="21"/>
    </row>
    <row r="18" spans="1:24" ht="18" customHeight="1">
      <c r="A18" s="14">
        <v>46279</v>
      </c>
      <c r="B18" s="15" t="s">
        <v>60</v>
      </c>
      <c r="C18" s="16"/>
      <c r="D18" s="16"/>
      <c r="E18" s="16"/>
      <c r="F18" s="17">
        <f t="shared" si="0"/>
        <v>50</v>
      </c>
      <c r="G18" s="18" t="str">
        <f t="shared" si="1"/>
        <v/>
      </c>
      <c r="H18" s="15" t="str">
        <f t="shared" si="2"/>
        <v>미입력</v>
      </c>
      <c r="I18" s="17">
        <f t="shared" si="3"/>
        <v>65</v>
      </c>
      <c r="J18" s="18" t="str">
        <f t="shared" si="4"/>
        <v/>
      </c>
      <c r="K18" s="15" t="str">
        <f t="shared" si="5"/>
        <v>미입력</v>
      </c>
      <c r="M18" s="1" t="s">
        <v>68</v>
      </c>
      <c r="N18" s="19">
        <v>46347</v>
      </c>
      <c r="O18" s="19">
        <v>46353</v>
      </c>
      <c r="P18" s="17" t="str">
        <f t="shared" si="6"/>
        <v/>
      </c>
      <c r="Q18" s="20" t="str">
        <f t="shared" si="7"/>
        <v/>
      </c>
      <c r="R18" s="18" t="str">
        <f t="shared" si="8"/>
        <v/>
      </c>
      <c r="S18" s="15" t="str">
        <f t="shared" si="9"/>
        <v>미입력</v>
      </c>
      <c r="T18" s="17" t="str">
        <f t="shared" si="10"/>
        <v/>
      </c>
      <c r="U18" s="20" t="str">
        <f t="shared" si="11"/>
        <v/>
      </c>
      <c r="V18" s="18" t="str">
        <f t="shared" si="12"/>
        <v/>
      </c>
      <c r="W18" s="15" t="str">
        <f t="shared" si="13"/>
        <v>미입력</v>
      </c>
      <c r="X18" s="21"/>
    </row>
    <row r="19" spans="1:24" ht="18" customHeight="1">
      <c r="A19" s="14">
        <v>46280</v>
      </c>
      <c r="B19" s="15" t="s">
        <v>47</v>
      </c>
      <c r="C19" s="16"/>
      <c r="D19" s="16"/>
      <c r="E19" s="16"/>
      <c r="F19" s="17">
        <f t="shared" si="0"/>
        <v>50</v>
      </c>
      <c r="G19" s="18" t="str">
        <f t="shared" si="1"/>
        <v/>
      </c>
      <c r="H19" s="15" t="str">
        <f t="shared" si="2"/>
        <v>미입력</v>
      </c>
      <c r="I19" s="17">
        <f t="shared" si="3"/>
        <v>65</v>
      </c>
      <c r="J19" s="18" t="str">
        <f t="shared" si="4"/>
        <v/>
      </c>
      <c r="K19" s="15" t="str">
        <f t="shared" si="5"/>
        <v>미입력</v>
      </c>
      <c r="M19" s="1" t="s">
        <v>69</v>
      </c>
      <c r="N19" s="19">
        <v>46354</v>
      </c>
      <c r="O19" s="19">
        <v>46356</v>
      </c>
      <c r="P19" s="17" t="str">
        <f t="shared" si="6"/>
        <v/>
      </c>
      <c r="Q19" s="20" t="str">
        <f t="shared" si="7"/>
        <v/>
      </c>
      <c r="R19" s="18" t="str">
        <f t="shared" si="8"/>
        <v/>
      </c>
      <c r="S19" s="15" t="str">
        <f t="shared" si="9"/>
        <v>미입력</v>
      </c>
      <c r="T19" s="17" t="str">
        <f t="shared" si="10"/>
        <v/>
      </c>
      <c r="U19" s="20" t="str">
        <f t="shared" si="11"/>
        <v/>
      </c>
      <c r="V19" s="18" t="str">
        <f t="shared" si="12"/>
        <v/>
      </c>
      <c r="W19" s="15" t="str">
        <f t="shared" si="13"/>
        <v>미입력</v>
      </c>
      <c r="X19" s="21"/>
    </row>
    <row r="20" spans="1:24" ht="18" customHeight="1">
      <c r="A20" s="14">
        <v>46281</v>
      </c>
      <c r="B20" s="15" t="s">
        <v>49</v>
      </c>
      <c r="C20" s="16"/>
      <c r="D20" s="16"/>
      <c r="E20" s="16"/>
      <c r="F20" s="17">
        <f t="shared" si="0"/>
        <v>50</v>
      </c>
      <c r="G20" s="18" t="str">
        <f t="shared" si="1"/>
        <v/>
      </c>
      <c r="H20" s="15" t="str">
        <f t="shared" si="2"/>
        <v>미입력</v>
      </c>
      <c r="I20" s="17">
        <f t="shared" si="3"/>
        <v>65</v>
      </c>
      <c r="J20" s="18" t="str">
        <f t="shared" si="4"/>
        <v/>
      </c>
      <c r="K20" s="15" t="str">
        <f t="shared" si="5"/>
        <v>미입력</v>
      </c>
      <c r="M20" s="1" t="s">
        <v>70</v>
      </c>
      <c r="N20" s="19">
        <v>46357</v>
      </c>
      <c r="O20" s="19">
        <v>46362</v>
      </c>
      <c r="P20" s="17" t="str">
        <f t="shared" si="6"/>
        <v/>
      </c>
      <c r="Q20" s="20" t="str">
        <f t="shared" si="7"/>
        <v/>
      </c>
      <c r="R20" s="18" t="str">
        <f t="shared" si="8"/>
        <v/>
      </c>
      <c r="S20" s="15" t="str">
        <f t="shared" si="9"/>
        <v>미입력</v>
      </c>
      <c r="T20" s="17" t="str">
        <f t="shared" si="10"/>
        <v/>
      </c>
      <c r="U20" s="20" t="str">
        <f t="shared" si="11"/>
        <v/>
      </c>
      <c r="V20" s="18" t="str">
        <f t="shared" si="12"/>
        <v/>
      </c>
      <c r="W20" s="15" t="str">
        <f t="shared" si="13"/>
        <v>미입력</v>
      </c>
      <c r="X20" s="21"/>
    </row>
    <row r="21" spans="1:24" ht="18" customHeight="1">
      <c r="A21" s="14">
        <v>46282</v>
      </c>
      <c r="B21" s="15" t="s">
        <v>51</v>
      </c>
      <c r="C21" s="16"/>
      <c r="D21" s="16"/>
      <c r="E21" s="16"/>
      <c r="F21" s="17">
        <f t="shared" si="0"/>
        <v>50</v>
      </c>
      <c r="G21" s="18" t="str">
        <f t="shared" si="1"/>
        <v/>
      </c>
      <c r="H21" s="15" t="str">
        <f t="shared" si="2"/>
        <v>미입력</v>
      </c>
      <c r="I21" s="17">
        <f t="shared" si="3"/>
        <v>65</v>
      </c>
      <c r="J21" s="18" t="str">
        <f t="shared" si="4"/>
        <v/>
      </c>
      <c r="K21" s="15" t="str">
        <f t="shared" si="5"/>
        <v>미입력</v>
      </c>
      <c r="M21" s="1" t="s">
        <v>71</v>
      </c>
      <c r="N21" s="19">
        <v>46363</v>
      </c>
      <c r="O21" s="19">
        <v>46369</v>
      </c>
      <c r="P21" s="17" t="str">
        <f t="shared" si="6"/>
        <v/>
      </c>
      <c r="Q21" s="20" t="str">
        <f t="shared" si="7"/>
        <v/>
      </c>
      <c r="R21" s="18" t="str">
        <f t="shared" si="8"/>
        <v/>
      </c>
      <c r="S21" s="15" t="str">
        <f t="shared" si="9"/>
        <v>미입력</v>
      </c>
      <c r="T21" s="17" t="str">
        <f t="shared" si="10"/>
        <v/>
      </c>
      <c r="U21" s="20" t="str">
        <f t="shared" si="11"/>
        <v/>
      </c>
      <c r="V21" s="18" t="str">
        <f t="shared" si="12"/>
        <v/>
      </c>
      <c r="W21" s="15" t="str">
        <f t="shared" si="13"/>
        <v>미입력</v>
      </c>
      <c r="X21" s="21"/>
    </row>
    <row r="22" spans="1:24" ht="18" customHeight="1">
      <c r="A22" s="14">
        <v>46283</v>
      </c>
      <c r="B22" s="15" t="s">
        <v>54</v>
      </c>
      <c r="C22" s="16"/>
      <c r="D22" s="16"/>
      <c r="E22" s="16"/>
      <c r="F22" s="17">
        <f t="shared" si="0"/>
        <v>50</v>
      </c>
      <c r="G22" s="18" t="str">
        <f t="shared" si="1"/>
        <v/>
      </c>
      <c r="H22" s="15" t="str">
        <f t="shared" si="2"/>
        <v>미입력</v>
      </c>
      <c r="I22" s="17">
        <f t="shared" si="3"/>
        <v>65</v>
      </c>
      <c r="J22" s="18" t="str">
        <f t="shared" si="4"/>
        <v/>
      </c>
      <c r="K22" s="15" t="str">
        <f t="shared" si="5"/>
        <v>미입력</v>
      </c>
      <c r="M22" s="1" t="s">
        <v>72</v>
      </c>
      <c r="N22" s="19">
        <v>46370</v>
      </c>
      <c r="O22" s="19">
        <v>46376</v>
      </c>
      <c r="P22" s="17" t="str">
        <f t="shared" si="6"/>
        <v/>
      </c>
      <c r="Q22" s="20" t="str">
        <f t="shared" si="7"/>
        <v/>
      </c>
      <c r="R22" s="18" t="str">
        <f t="shared" si="8"/>
        <v/>
      </c>
      <c r="S22" s="15" t="str">
        <f t="shared" si="9"/>
        <v>미입력</v>
      </c>
      <c r="T22" s="17" t="str">
        <f t="shared" si="10"/>
        <v/>
      </c>
      <c r="U22" s="20" t="str">
        <f t="shared" si="11"/>
        <v/>
      </c>
      <c r="V22" s="18" t="str">
        <f t="shared" si="12"/>
        <v/>
      </c>
      <c r="W22" s="15" t="str">
        <f t="shared" si="13"/>
        <v>미입력</v>
      </c>
      <c r="X22" s="21"/>
    </row>
    <row r="23" spans="1:24" ht="18" customHeight="1">
      <c r="A23" s="23">
        <v>46284</v>
      </c>
      <c r="B23" s="24" t="s">
        <v>56</v>
      </c>
      <c r="C23" s="16"/>
      <c r="D23" s="16"/>
      <c r="E23" s="16"/>
      <c r="F23" s="25">
        <f t="shared" si="0"/>
        <v>50</v>
      </c>
      <c r="G23" s="26" t="str">
        <f t="shared" si="1"/>
        <v/>
      </c>
      <c r="H23" s="24" t="str">
        <f t="shared" si="2"/>
        <v>미입력</v>
      </c>
      <c r="I23" s="25">
        <f t="shared" si="3"/>
        <v>65</v>
      </c>
      <c r="J23" s="26" t="str">
        <f t="shared" si="4"/>
        <v/>
      </c>
      <c r="K23" s="24" t="str">
        <f t="shared" si="5"/>
        <v>미입력</v>
      </c>
      <c r="M23" s="1" t="s">
        <v>73</v>
      </c>
      <c r="N23" s="19">
        <v>46377</v>
      </c>
      <c r="O23" s="19">
        <v>46383</v>
      </c>
      <c r="P23" s="17" t="str">
        <f t="shared" si="6"/>
        <v/>
      </c>
      <c r="Q23" s="20" t="str">
        <f t="shared" si="7"/>
        <v/>
      </c>
      <c r="R23" s="18" t="str">
        <f t="shared" si="8"/>
        <v/>
      </c>
      <c r="S23" s="15" t="str">
        <f t="shared" si="9"/>
        <v>미입력</v>
      </c>
      <c r="T23" s="17" t="str">
        <f t="shared" si="10"/>
        <v/>
      </c>
      <c r="U23" s="20" t="str">
        <f t="shared" si="11"/>
        <v/>
      </c>
      <c r="V23" s="18" t="str">
        <f t="shared" si="12"/>
        <v/>
      </c>
      <c r="W23" s="15" t="str">
        <f t="shared" si="13"/>
        <v>미입력</v>
      </c>
      <c r="X23" s="21"/>
    </row>
    <row r="24" spans="1:24" ht="18" customHeight="1">
      <c r="A24" s="27">
        <v>46285</v>
      </c>
      <c r="B24" s="28" t="s">
        <v>58</v>
      </c>
      <c r="C24" s="16"/>
      <c r="D24" s="16"/>
      <c r="E24" s="16"/>
      <c r="F24" s="29">
        <f t="shared" si="0"/>
        <v>50</v>
      </c>
      <c r="G24" s="30" t="str">
        <f t="shared" si="1"/>
        <v/>
      </c>
      <c r="H24" s="28" t="str">
        <f t="shared" si="2"/>
        <v>미입력</v>
      </c>
      <c r="I24" s="29">
        <f t="shared" si="3"/>
        <v>65</v>
      </c>
      <c r="J24" s="30" t="str">
        <f t="shared" si="4"/>
        <v/>
      </c>
      <c r="K24" s="28" t="str">
        <f t="shared" si="5"/>
        <v>미입력</v>
      </c>
      <c r="M24" s="1" t="s">
        <v>74</v>
      </c>
      <c r="N24" s="19">
        <v>46384</v>
      </c>
      <c r="O24" s="19">
        <v>46387</v>
      </c>
      <c r="P24" s="17" t="str">
        <f t="shared" si="6"/>
        <v/>
      </c>
      <c r="Q24" s="20" t="str">
        <f t="shared" si="7"/>
        <v/>
      </c>
      <c r="R24" s="18" t="str">
        <f t="shared" si="8"/>
        <v/>
      </c>
      <c r="S24" s="15" t="str">
        <f t="shared" si="9"/>
        <v>미입력</v>
      </c>
      <c r="T24" s="17" t="str">
        <f t="shared" si="10"/>
        <v/>
      </c>
      <c r="U24" s="20" t="str">
        <f t="shared" si="11"/>
        <v/>
      </c>
      <c r="V24" s="18" t="str">
        <f t="shared" si="12"/>
        <v/>
      </c>
      <c r="W24" s="15" t="str">
        <f t="shared" si="13"/>
        <v>미입력</v>
      </c>
      <c r="X24" s="21"/>
    </row>
    <row r="25" spans="1:24" ht="18" customHeight="1">
      <c r="A25" s="14">
        <v>46286</v>
      </c>
      <c r="B25" s="15" t="s">
        <v>60</v>
      </c>
      <c r="C25" s="16"/>
      <c r="D25" s="16"/>
      <c r="E25" s="16"/>
      <c r="F25" s="17">
        <f t="shared" si="0"/>
        <v>50</v>
      </c>
      <c r="G25" s="18" t="str">
        <f t="shared" si="1"/>
        <v/>
      </c>
      <c r="H25" s="15" t="str">
        <f t="shared" si="2"/>
        <v>미입력</v>
      </c>
      <c r="I25" s="17">
        <f t="shared" si="3"/>
        <v>65</v>
      </c>
      <c r="J25" s="18" t="str">
        <f t="shared" si="4"/>
        <v/>
      </c>
      <c r="K25" s="15" t="str">
        <f t="shared" si="5"/>
        <v>미입력</v>
      </c>
    </row>
    <row r="26" spans="1:24" ht="18" customHeight="1">
      <c r="A26" s="14">
        <v>46287</v>
      </c>
      <c r="B26" s="15" t="s">
        <v>47</v>
      </c>
      <c r="C26" s="16"/>
      <c r="D26" s="16"/>
      <c r="E26" s="16"/>
      <c r="F26" s="17">
        <f t="shared" si="0"/>
        <v>50</v>
      </c>
      <c r="G26" s="18" t="str">
        <f t="shared" si="1"/>
        <v/>
      </c>
      <c r="H26" s="15" t="str">
        <f t="shared" si="2"/>
        <v>미입력</v>
      </c>
      <c r="I26" s="17">
        <f t="shared" si="3"/>
        <v>65</v>
      </c>
      <c r="J26" s="18" t="str">
        <f t="shared" si="4"/>
        <v/>
      </c>
      <c r="K26" s="15" t="str">
        <f t="shared" si="5"/>
        <v>미입력</v>
      </c>
    </row>
    <row r="27" spans="1:24" ht="18" customHeight="1">
      <c r="A27" s="14">
        <v>46288</v>
      </c>
      <c r="B27" s="15" t="s">
        <v>49</v>
      </c>
      <c r="C27" s="16"/>
      <c r="D27" s="16"/>
      <c r="E27" s="16"/>
      <c r="F27" s="17">
        <f t="shared" si="0"/>
        <v>50</v>
      </c>
      <c r="G27" s="18" t="str">
        <f t="shared" si="1"/>
        <v/>
      </c>
      <c r="H27" s="15" t="str">
        <f t="shared" si="2"/>
        <v>미입력</v>
      </c>
      <c r="I27" s="17">
        <f t="shared" si="3"/>
        <v>65</v>
      </c>
      <c r="J27" s="18" t="str">
        <f t="shared" si="4"/>
        <v/>
      </c>
      <c r="K27" s="15" t="str">
        <f t="shared" si="5"/>
        <v>미입력</v>
      </c>
    </row>
    <row r="28" spans="1:24" ht="18" customHeight="1">
      <c r="A28" s="14">
        <v>46289</v>
      </c>
      <c r="B28" s="15" t="s">
        <v>51</v>
      </c>
      <c r="C28" s="16"/>
      <c r="D28" s="16"/>
      <c r="E28" s="16"/>
      <c r="F28" s="17">
        <f t="shared" si="0"/>
        <v>50</v>
      </c>
      <c r="G28" s="18" t="str">
        <f t="shared" si="1"/>
        <v/>
      </c>
      <c r="H28" s="15" t="str">
        <f t="shared" si="2"/>
        <v>미입력</v>
      </c>
      <c r="I28" s="17">
        <f t="shared" si="3"/>
        <v>65</v>
      </c>
      <c r="J28" s="18" t="str">
        <f t="shared" si="4"/>
        <v/>
      </c>
      <c r="K28" s="15" t="str">
        <f t="shared" si="5"/>
        <v>미입력</v>
      </c>
    </row>
    <row r="29" spans="1:24" ht="18" customHeight="1">
      <c r="A29" s="14">
        <v>46290</v>
      </c>
      <c r="B29" s="15" t="s">
        <v>54</v>
      </c>
      <c r="C29" s="16"/>
      <c r="D29" s="16"/>
      <c r="E29" s="16"/>
      <c r="F29" s="17">
        <f t="shared" si="0"/>
        <v>50</v>
      </c>
      <c r="G29" s="18" t="str">
        <f t="shared" si="1"/>
        <v/>
      </c>
      <c r="H29" s="15" t="str">
        <f t="shared" si="2"/>
        <v>미입력</v>
      </c>
      <c r="I29" s="17">
        <f t="shared" si="3"/>
        <v>65</v>
      </c>
      <c r="J29" s="18" t="str">
        <f t="shared" si="4"/>
        <v/>
      </c>
      <c r="K29" s="15" t="str">
        <f t="shared" si="5"/>
        <v>미입력</v>
      </c>
    </row>
    <row r="30" spans="1:24" ht="18" customHeight="1">
      <c r="A30" s="23">
        <v>46291</v>
      </c>
      <c r="B30" s="24" t="s">
        <v>56</v>
      </c>
      <c r="C30" s="16"/>
      <c r="D30" s="16"/>
      <c r="E30" s="16"/>
      <c r="F30" s="25">
        <f t="shared" si="0"/>
        <v>50</v>
      </c>
      <c r="G30" s="26" t="str">
        <f t="shared" si="1"/>
        <v/>
      </c>
      <c r="H30" s="24" t="str">
        <f t="shared" si="2"/>
        <v>미입력</v>
      </c>
      <c r="I30" s="25">
        <f t="shared" si="3"/>
        <v>65</v>
      </c>
      <c r="J30" s="26" t="str">
        <f t="shared" si="4"/>
        <v/>
      </c>
      <c r="K30" s="24" t="str">
        <f t="shared" si="5"/>
        <v>미입력</v>
      </c>
    </row>
    <row r="31" spans="1:24" ht="18" customHeight="1">
      <c r="A31" s="27">
        <v>46292</v>
      </c>
      <c r="B31" s="28" t="s">
        <v>58</v>
      </c>
      <c r="C31" s="16"/>
      <c r="D31" s="16"/>
      <c r="E31" s="16"/>
      <c r="F31" s="29">
        <f t="shared" si="0"/>
        <v>50</v>
      </c>
      <c r="G31" s="30" t="str">
        <f t="shared" si="1"/>
        <v/>
      </c>
      <c r="H31" s="28" t="str">
        <f t="shared" si="2"/>
        <v>미입력</v>
      </c>
      <c r="I31" s="29">
        <f t="shared" si="3"/>
        <v>65</v>
      </c>
      <c r="J31" s="30" t="str">
        <f t="shared" si="4"/>
        <v/>
      </c>
      <c r="K31" s="28" t="str">
        <f t="shared" si="5"/>
        <v>미입력</v>
      </c>
    </row>
    <row r="32" spans="1:24" ht="18" customHeight="1">
      <c r="A32" s="14">
        <v>46293</v>
      </c>
      <c r="B32" s="15" t="s">
        <v>60</v>
      </c>
      <c r="C32" s="16"/>
      <c r="D32" s="16"/>
      <c r="E32" s="16"/>
      <c r="F32" s="17">
        <f t="shared" si="0"/>
        <v>50</v>
      </c>
      <c r="G32" s="18" t="str">
        <f t="shared" si="1"/>
        <v/>
      </c>
      <c r="H32" s="15" t="str">
        <f t="shared" si="2"/>
        <v>미입력</v>
      </c>
      <c r="I32" s="17">
        <f t="shared" si="3"/>
        <v>65</v>
      </c>
      <c r="J32" s="18" t="str">
        <f t="shared" si="4"/>
        <v/>
      </c>
      <c r="K32" s="15" t="str">
        <f t="shared" si="5"/>
        <v>미입력</v>
      </c>
    </row>
    <row r="33" spans="1:11" ht="18" customHeight="1">
      <c r="A33" s="14">
        <v>46294</v>
      </c>
      <c r="B33" s="15" t="s">
        <v>47</v>
      </c>
      <c r="C33" s="16"/>
      <c r="D33" s="16"/>
      <c r="E33" s="16"/>
      <c r="F33" s="17">
        <f t="shared" si="0"/>
        <v>50</v>
      </c>
      <c r="G33" s="18" t="str">
        <f t="shared" si="1"/>
        <v/>
      </c>
      <c r="H33" s="15" t="str">
        <f t="shared" si="2"/>
        <v>미입력</v>
      </c>
      <c r="I33" s="17">
        <f t="shared" si="3"/>
        <v>65</v>
      </c>
      <c r="J33" s="18" t="str">
        <f t="shared" si="4"/>
        <v/>
      </c>
      <c r="K33" s="15" t="str">
        <f t="shared" si="5"/>
        <v>미입력</v>
      </c>
    </row>
    <row r="34" spans="1:11" ht="18" customHeight="1">
      <c r="A34" s="14">
        <v>46295</v>
      </c>
      <c r="B34" s="15" t="s">
        <v>49</v>
      </c>
      <c r="C34" s="16"/>
      <c r="D34" s="16"/>
      <c r="E34" s="16"/>
      <c r="F34" s="17">
        <f t="shared" si="0"/>
        <v>50</v>
      </c>
      <c r="G34" s="18" t="str">
        <f t="shared" si="1"/>
        <v/>
      </c>
      <c r="H34" s="15" t="str">
        <f t="shared" si="2"/>
        <v>미입력</v>
      </c>
      <c r="I34" s="17">
        <f t="shared" si="3"/>
        <v>65</v>
      </c>
      <c r="J34" s="18" t="str">
        <f t="shared" si="4"/>
        <v/>
      </c>
      <c r="K34" s="15" t="str">
        <f t="shared" si="5"/>
        <v>미입력</v>
      </c>
    </row>
    <row r="35" spans="1:11" ht="18" customHeight="1">
      <c r="A35" s="14">
        <v>46296</v>
      </c>
      <c r="B35" s="15" t="s">
        <v>51</v>
      </c>
      <c r="C35" s="16">
        <v>37</v>
      </c>
      <c r="D35" s="16">
        <v>43</v>
      </c>
      <c r="E35" s="16"/>
      <c r="F35" s="17">
        <f t="shared" si="0"/>
        <v>50</v>
      </c>
      <c r="G35" s="18">
        <f t="shared" si="1"/>
        <v>0.74</v>
      </c>
      <c r="H35" s="15" t="str">
        <f t="shared" si="2"/>
        <v>미달</v>
      </c>
      <c r="I35" s="17">
        <f t="shared" si="3"/>
        <v>65</v>
      </c>
      <c r="J35" s="18">
        <f t="shared" si="4"/>
        <v>0.66153846153846152</v>
      </c>
      <c r="K35" s="15" t="str">
        <f t="shared" si="5"/>
        <v>미달</v>
      </c>
    </row>
    <row r="36" spans="1:11" ht="18" customHeight="1">
      <c r="A36" s="14">
        <v>46297</v>
      </c>
      <c r="B36" s="15" t="s">
        <v>54</v>
      </c>
      <c r="C36" s="16">
        <v>44</v>
      </c>
      <c r="D36" s="16">
        <v>63</v>
      </c>
      <c r="E36" s="16"/>
      <c r="F36" s="17">
        <f t="shared" si="0"/>
        <v>50</v>
      </c>
      <c r="G36" s="18">
        <f t="shared" si="1"/>
        <v>0.88</v>
      </c>
      <c r="H36" s="15" t="str">
        <f t="shared" si="2"/>
        <v>미달</v>
      </c>
      <c r="I36" s="17">
        <f t="shared" si="3"/>
        <v>65</v>
      </c>
      <c r="J36" s="18">
        <f t="shared" si="4"/>
        <v>0.96923076923076923</v>
      </c>
      <c r="K36" s="15" t="str">
        <f t="shared" si="5"/>
        <v>미달</v>
      </c>
    </row>
    <row r="37" spans="1:11" ht="18" customHeight="1">
      <c r="A37" s="23">
        <v>46298</v>
      </c>
      <c r="B37" s="24" t="s">
        <v>56</v>
      </c>
      <c r="C37" s="16">
        <v>36</v>
      </c>
      <c r="D37" s="16">
        <v>42</v>
      </c>
      <c r="E37" s="16"/>
      <c r="F37" s="25">
        <f t="shared" ref="F37:F68" si="14">IF(OR($E37="오전반차",$E37="오후반차"),$D$2/2,$D$2)</f>
        <v>50</v>
      </c>
      <c r="G37" s="26">
        <f t="shared" ref="G37:G68" si="15">IF($C37="","",$C37/$F37)</f>
        <v>0.72</v>
      </c>
      <c r="H37" s="24" t="str">
        <f t="shared" ref="H37:H68" si="16">IF($C37="",IF($E37="","미입력",$E37),IF($C37&gt;=$F37,"달성","미달"))</f>
        <v>미달</v>
      </c>
      <c r="I37" s="25">
        <f t="shared" ref="I37:I68" si="17">IF(OR($E37="오전반차",$E37="오후반차"),$F$2/2,$F$2)</f>
        <v>65</v>
      </c>
      <c r="J37" s="26">
        <f t="shared" ref="J37:J68" si="18">IF($D37="","",$D37/$I37)</f>
        <v>0.64615384615384619</v>
      </c>
      <c r="K37" s="24" t="str">
        <f t="shared" ref="K37:K68" si="19">IF($D37="",IF($E37="","미입력",$E37),IF($D37&gt;=$I37,"달성","미달"))</f>
        <v>미달</v>
      </c>
    </row>
    <row r="38" spans="1:11" ht="18" customHeight="1">
      <c r="A38" s="27">
        <v>46299</v>
      </c>
      <c r="B38" s="28" t="s">
        <v>58</v>
      </c>
      <c r="C38" s="16">
        <v>34</v>
      </c>
      <c r="D38" s="16">
        <v>47</v>
      </c>
      <c r="E38" s="16"/>
      <c r="F38" s="29">
        <f t="shared" si="14"/>
        <v>50</v>
      </c>
      <c r="G38" s="30">
        <f t="shared" si="15"/>
        <v>0.68</v>
      </c>
      <c r="H38" s="28" t="str">
        <f t="shared" si="16"/>
        <v>미달</v>
      </c>
      <c r="I38" s="29">
        <f t="shared" si="17"/>
        <v>65</v>
      </c>
      <c r="J38" s="30">
        <f t="shared" si="18"/>
        <v>0.72307692307692306</v>
      </c>
      <c r="K38" s="28" t="str">
        <f t="shared" si="19"/>
        <v>미달</v>
      </c>
    </row>
    <row r="39" spans="1:11" ht="18" customHeight="1">
      <c r="A39" s="14">
        <v>46300</v>
      </c>
      <c r="B39" s="15" t="s">
        <v>60</v>
      </c>
      <c r="C39" s="16"/>
      <c r="D39" s="16"/>
      <c r="E39" s="16"/>
      <c r="F39" s="17">
        <f t="shared" si="14"/>
        <v>50</v>
      </c>
      <c r="G39" s="18" t="str">
        <f t="shared" si="15"/>
        <v/>
      </c>
      <c r="H39" s="15" t="str">
        <f t="shared" si="16"/>
        <v>미입력</v>
      </c>
      <c r="I39" s="17">
        <f t="shared" si="17"/>
        <v>65</v>
      </c>
      <c r="J39" s="18" t="str">
        <f t="shared" si="18"/>
        <v/>
      </c>
      <c r="K39" s="15" t="str">
        <f t="shared" si="19"/>
        <v>미입력</v>
      </c>
    </row>
    <row r="40" spans="1:11" ht="18" customHeight="1">
      <c r="A40" s="14">
        <v>46301</v>
      </c>
      <c r="B40" s="15" t="s">
        <v>47</v>
      </c>
      <c r="C40" s="16"/>
      <c r="D40" s="16"/>
      <c r="E40" s="16"/>
      <c r="F40" s="17">
        <f t="shared" si="14"/>
        <v>50</v>
      </c>
      <c r="G40" s="18" t="str">
        <f t="shared" si="15"/>
        <v/>
      </c>
      <c r="H40" s="15" t="str">
        <f t="shared" si="16"/>
        <v>미입력</v>
      </c>
      <c r="I40" s="17">
        <f t="shared" si="17"/>
        <v>65</v>
      </c>
      <c r="J40" s="18" t="str">
        <f t="shared" si="18"/>
        <v/>
      </c>
      <c r="K40" s="15" t="str">
        <f t="shared" si="19"/>
        <v>미입력</v>
      </c>
    </row>
    <row r="41" spans="1:11" ht="18" customHeight="1">
      <c r="A41" s="14">
        <v>46302</v>
      </c>
      <c r="B41" s="15" t="s">
        <v>49</v>
      </c>
      <c r="C41" s="16"/>
      <c r="D41" s="16"/>
      <c r="E41" s="16"/>
      <c r="F41" s="17">
        <f t="shared" si="14"/>
        <v>50</v>
      </c>
      <c r="G41" s="18" t="str">
        <f t="shared" si="15"/>
        <v/>
      </c>
      <c r="H41" s="15" t="str">
        <f t="shared" si="16"/>
        <v>미입력</v>
      </c>
      <c r="I41" s="17">
        <f t="shared" si="17"/>
        <v>65</v>
      </c>
      <c r="J41" s="18" t="str">
        <f t="shared" si="18"/>
        <v/>
      </c>
      <c r="K41" s="15" t="str">
        <f t="shared" si="19"/>
        <v>미입력</v>
      </c>
    </row>
    <row r="42" spans="1:11" ht="18" customHeight="1">
      <c r="A42" s="14">
        <v>46303</v>
      </c>
      <c r="B42" s="15" t="s">
        <v>51</v>
      </c>
      <c r="C42" s="16"/>
      <c r="D42" s="16"/>
      <c r="E42" s="16"/>
      <c r="F42" s="17">
        <f t="shared" si="14"/>
        <v>50</v>
      </c>
      <c r="G42" s="18" t="str">
        <f t="shared" si="15"/>
        <v/>
      </c>
      <c r="H42" s="15" t="str">
        <f t="shared" si="16"/>
        <v>미입력</v>
      </c>
      <c r="I42" s="17">
        <f t="shared" si="17"/>
        <v>65</v>
      </c>
      <c r="J42" s="18" t="str">
        <f t="shared" si="18"/>
        <v/>
      </c>
      <c r="K42" s="15" t="str">
        <f t="shared" si="19"/>
        <v>미입력</v>
      </c>
    </row>
    <row r="43" spans="1:11" ht="18" customHeight="1">
      <c r="A43" s="14">
        <v>46304</v>
      </c>
      <c r="B43" s="15" t="s">
        <v>54</v>
      </c>
      <c r="C43" s="16"/>
      <c r="D43" s="16"/>
      <c r="E43" s="16"/>
      <c r="F43" s="17">
        <f t="shared" si="14"/>
        <v>50</v>
      </c>
      <c r="G43" s="18" t="str">
        <f t="shared" si="15"/>
        <v/>
      </c>
      <c r="H43" s="15" t="str">
        <f t="shared" si="16"/>
        <v>미입력</v>
      </c>
      <c r="I43" s="17">
        <f t="shared" si="17"/>
        <v>65</v>
      </c>
      <c r="J43" s="18" t="str">
        <f t="shared" si="18"/>
        <v/>
      </c>
      <c r="K43" s="15" t="str">
        <f t="shared" si="19"/>
        <v>미입력</v>
      </c>
    </row>
    <row r="44" spans="1:11" ht="18" customHeight="1">
      <c r="A44" s="23">
        <v>46305</v>
      </c>
      <c r="B44" s="24" t="s">
        <v>56</v>
      </c>
      <c r="C44" s="16"/>
      <c r="D44" s="16"/>
      <c r="E44" s="16"/>
      <c r="F44" s="25">
        <f t="shared" si="14"/>
        <v>50</v>
      </c>
      <c r="G44" s="26" t="str">
        <f t="shared" si="15"/>
        <v/>
      </c>
      <c r="H44" s="24" t="str">
        <f t="shared" si="16"/>
        <v>미입력</v>
      </c>
      <c r="I44" s="25">
        <f t="shared" si="17"/>
        <v>65</v>
      </c>
      <c r="J44" s="26" t="str">
        <f t="shared" si="18"/>
        <v/>
      </c>
      <c r="K44" s="24" t="str">
        <f t="shared" si="19"/>
        <v>미입력</v>
      </c>
    </row>
    <row r="45" spans="1:11" ht="18" customHeight="1">
      <c r="A45" s="27">
        <v>46306</v>
      </c>
      <c r="B45" s="28" t="s">
        <v>58</v>
      </c>
      <c r="C45" s="16"/>
      <c r="D45" s="16"/>
      <c r="E45" s="16"/>
      <c r="F45" s="29">
        <f t="shared" si="14"/>
        <v>50</v>
      </c>
      <c r="G45" s="30" t="str">
        <f t="shared" si="15"/>
        <v/>
      </c>
      <c r="H45" s="28" t="str">
        <f t="shared" si="16"/>
        <v>미입력</v>
      </c>
      <c r="I45" s="29">
        <f t="shared" si="17"/>
        <v>65</v>
      </c>
      <c r="J45" s="30" t="str">
        <f t="shared" si="18"/>
        <v/>
      </c>
      <c r="K45" s="28" t="str">
        <f t="shared" si="19"/>
        <v>미입력</v>
      </c>
    </row>
    <row r="46" spans="1:11" ht="18" customHeight="1">
      <c r="A46" s="14">
        <v>46307</v>
      </c>
      <c r="B46" s="15" t="s">
        <v>60</v>
      </c>
      <c r="C46" s="16"/>
      <c r="D46" s="16"/>
      <c r="E46" s="16"/>
      <c r="F46" s="17">
        <f t="shared" si="14"/>
        <v>50</v>
      </c>
      <c r="G46" s="18" t="str">
        <f t="shared" si="15"/>
        <v/>
      </c>
      <c r="H46" s="15" t="str">
        <f t="shared" si="16"/>
        <v>미입력</v>
      </c>
      <c r="I46" s="17">
        <f t="shared" si="17"/>
        <v>65</v>
      </c>
      <c r="J46" s="18" t="str">
        <f t="shared" si="18"/>
        <v/>
      </c>
      <c r="K46" s="15" t="str">
        <f t="shared" si="19"/>
        <v>미입력</v>
      </c>
    </row>
    <row r="47" spans="1:11" ht="18" customHeight="1">
      <c r="A47" s="14">
        <v>46308</v>
      </c>
      <c r="B47" s="15" t="s">
        <v>47</v>
      </c>
      <c r="C47" s="16"/>
      <c r="D47" s="16"/>
      <c r="E47" s="16"/>
      <c r="F47" s="17">
        <f t="shared" si="14"/>
        <v>50</v>
      </c>
      <c r="G47" s="18" t="str">
        <f t="shared" si="15"/>
        <v/>
      </c>
      <c r="H47" s="15" t="str">
        <f t="shared" si="16"/>
        <v>미입력</v>
      </c>
      <c r="I47" s="17">
        <f t="shared" si="17"/>
        <v>65</v>
      </c>
      <c r="J47" s="18" t="str">
        <f t="shared" si="18"/>
        <v/>
      </c>
      <c r="K47" s="15" t="str">
        <f t="shared" si="19"/>
        <v>미입력</v>
      </c>
    </row>
    <row r="48" spans="1:11" ht="18" customHeight="1">
      <c r="A48" s="14">
        <v>46309</v>
      </c>
      <c r="B48" s="15" t="s">
        <v>49</v>
      </c>
      <c r="C48" s="16"/>
      <c r="D48" s="16"/>
      <c r="E48" s="16"/>
      <c r="F48" s="17">
        <f t="shared" si="14"/>
        <v>50</v>
      </c>
      <c r="G48" s="18" t="str">
        <f t="shared" si="15"/>
        <v/>
      </c>
      <c r="H48" s="15" t="str">
        <f t="shared" si="16"/>
        <v>미입력</v>
      </c>
      <c r="I48" s="17">
        <f t="shared" si="17"/>
        <v>65</v>
      </c>
      <c r="J48" s="18" t="str">
        <f t="shared" si="18"/>
        <v/>
      </c>
      <c r="K48" s="15" t="str">
        <f t="shared" si="19"/>
        <v>미입력</v>
      </c>
    </row>
    <row r="49" spans="1:11" ht="18" customHeight="1">
      <c r="A49" s="14">
        <v>46310</v>
      </c>
      <c r="B49" s="15" t="s">
        <v>51</v>
      </c>
      <c r="C49" s="16"/>
      <c r="D49" s="16"/>
      <c r="E49" s="16"/>
      <c r="F49" s="17">
        <f t="shared" si="14"/>
        <v>50</v>
      </c>
      <c r="G49" s="18" t="str">
        <f t="shared" si="15"/>
        <v/>
      </c>
      <c r="H49" s="15" t="str">
        <f t="shared" si="16"/>
        <v>미입력</v>
      </c>
      <c r="I49" s="17">
        <f t="shared" si="17"/>
        <v>65</v>
      </c>
      <c r="J49" s="18" t="str">
        <f t="shared" si="18"/>
        <v/>
      </c>
      <c r="K49" s="15" t="str">
        <f t="shared" si="19"/>
        <v>미입력</v>
      </c>
    </row>
    <row r="50" spans="1:11" ht="18" customHeight="1">
      <c r="A50" s="14">
        <v>46311</v>
      </c>
      <c r="B50" s="15" t="s">
        <v>54</v>
      </c>
      <c r="C50" s="16"/>
      <c r="D50" s="16"/>
      <c r="E50" s="16"/>
      <c r="F50" s="17">
        <f t="shared" si="14"/>
        <v>50</v>
      </c>
      <c r="G50" s="18" t="str">
        <f t="shared" si="15"/>
        <v/>
      </c>
      <c r="H50" s="15" t="str">
        <f t="shared" si="16"/>
        <v>미입력</v>
      </c>
      <c r="I50" s="17">
        <f t="shared" si="17"/>
        <v>65</v>
      </c>
      <c r="J50" s="18" t="str">
        <f t="shared" si="18"/>
        <v/>
      </c>
      <c r="K50" s="15" t="str">
        <f t="shared" si="19"/>
        <v>미입력</v>
      </c>
    </row>
    <row r="51" spans="1:11" ht="18" customHeight="1">
      <c r="A51" s="23">
        <v>46312</v>
      </c>
      <c r="B51" s="24" t="s">
        <v>56</v>
      </c>
      <c r="C51" s="16"/>
      <c r="D51" s="16"/>
      <c r="E51" s="16"/>
      <c r="F51" s="25">
        <f t="shared" si="14"/>
        <v>50</v>
      </c>
      <c r="G51" s="26" t="str">
        <f t="shared" si="15"/>
        <v/>
      </c>
      <c r="H51" s="24" t="str">
        <f t="shared" si="16"/>
        <v>미입력</v>
      </c>
      <c r="I51" s="25">
        <f t="shared" si="17"/>
        <v>65</v>
      </c>
      <c r="J51" s="26" t="str">
        <f t="shared" si="18"/>
        <v/>
      </c>
      <c r="K51" s="24" t="str">
        <f t="shared" si="19"/>
        <v>미입력</v>
      </c>
    </row>
    <row r="52" spans="1:11" ht="18" customHeight="1">
      <c r="A52" s="27">
        <v>46313</v>
      </c>
      <c r="B52" s="28" t="s">
        <v>58</v>
      </c>
      <c r="C52" s="16"/>
      <c r="D52" s="16"/>
      <c r="E52" s="16"/>
      <c r="F52" s="29">
        <f t="shared" si="14"/>
        <v>50</v>
      </c>
      <c r="G52" s="30" t="str">
        <f t="shared" si="15"/>
        <v/>
      </c>
      <c r="H52" s="28" t="str">
        <f t="shared" si="16"/>
        <v>미입력</v>
      </c>
      <c r="I52" s="29">
        <f t="shared" si="17"/>
        <v>65</v>
      </c>
      <c r="J52" s="30" t="str">
        <f t="shared" si="18"/>
        <v/>
      </c>
      <c r="K52" s="28" t="str">
        <f t="shared" si="19"/>
        <v>미입력</v>
      </c>
    </row>
    <row r="53" spans="1:11" ht="18" customHeight="1">
      <c r="A53" s="14">
        <v>46314</v>
      </c>
      <c r="B53" s="15" t="s">
        <v>60</v>
      </c>
      <c r="C53" s="16"/>
      <c r="D53" s="16"/>
      <c r="E53" s="16"/>
      <c r="F53" s="17">
        <f t="shared" si="14"/>
        <v>50</v>
      </c>
      <c r="G53" s="18" t="str">
        <f t="shared" si="15"/>
        <v/>
      </c>
      <c r="H53" s="15" t="str">
        <f t="shared" si="16"/>
        <v>미입력</v>
      </c>
      <c r="I53" s="17">
        <f t="shared" si="17"/>
        <v>65</v>
      </c>
      <c r="J53" s="18" t="str">
        <f t="shared" si="18"/>
        <v/>
      </c>
      <c r="K53" s="15" t="str">
        <f t="shared" si="19"/>
        <v>미입력</v>
      </c>
    </row>
    <row r="54" spans="1:11" ht="18" customHeight="1">
      <c r="A54" s="14">
        <v>46315</v>
      </c>
      <c r="B54" s="15" t="s">
        <v>47</v>
      </c>
      <c r="C54" s="16"/>
      <c r="D54" s="16"/>
      <c r="E54" s="16"/>
      <c r="F54" s="17">
        <f t="shared" si="14"/>
        <v>50</v>
      </c>
      <c r="G54" s="18" t="str">
        <f t="shared" si="15"/>
        <v/>
      </c>
      <c r="H54" s="15" t="str">
        <f t="shared" si="16"/>
        <v>미입력</v>
      </c>
      <c r="I54" s="17">
        <f t="shared" si="17"/>
        <v>65</v>
      </c>
      <c r="J54" s="18" t="str">
        <f t="shared" si="18"/>
        <v/>
      </c>
      <c r="K54" s="15" t="str">
        <f t="shared" si="19"/>
        <v>미입력</v>
      </c>
    </row>
    <row r="55" spans="1:11" ht="18" customHeight="1">
      <c r="A55" s="14">
        <v>46316</v>
      </c>
      <c r="B55" s="15" t="s">
        <v>49</v>
      </c>
      <c r="C55" s="16"/>
      <c r="D55" s="16"/>
      <c r="E55" s="16"/>
      <c r="F55" s="17">
        <f t="shared" si="14"/>
        <v>50</v>
      </c>
      <c r="G55" s="18" t="str">
        <f t="shared" si="15"/>
        <v/>
      </c>
      <c r="H55" s="15" t="str">
        <f t="shared" si="16"/>
        <v>미입력</v>
      </c>
      <c r="I55" s="17">
        <f t="shared" si="17"/>
        <v>65</v>
      </c>
      <c r="J55" s="18" t="str">
        <f t="shared" si="18"/>
        <v/>
      </c>
      <c r="K55" s="15" t="str">
        <f t="shared" si="19"/>
        <v>미입력</v>
      </c>
    </row>
    <row r="56" spans="1:11" ht="18" customHeight="1">
      <c r="A56" s="14">
        <v>46317</v>
      </c>
      <c r="B56" s="15" t="s">
        <v>51</v>
      </c>
      <c r="C56" s="16"/>
      <c r="D56" s="16"/>
      <c r="E56" s="16"/>
      <c r="F56" s="17">
        <f t="shared" si="14"/>
        <v>50</v>
      </c>
      <c r="G56" s="18" t="str">
        <f t="shared" si="15"/>
        <v/>
      </c>
      <c r="H56" s="15" t="str">
        <f t="shared" si="16"/>
        <v>미입력</v>
      </c>
      <c r="I56" s="17">
        <f t="shared" si="17"/>
        <v>65</v>
      </c>
      <c r="J56" s="18" t="str">
        <f t="shared" si="18"/>
        <v/>
      </c>
      <c r="K56" s="15" t="str">
        <f t="shared" si="19"/>
        <v>미입력</v>
      </c>
    </row>
    <row r="57" spans="1:11" ht="18" customHeight="1">
      <c r="A57" s="14">
        <v>46318</v>
      </c>
      <c r="B57" s="15" t="s">
        <v>54</v>
      </c>
      <c r="C57" s="16"/>
      <c r="D57" s="16"/>
      <c r="E57" s="16"/>
      <c r="F57" s="17">
        <f t="shared" si="14"/>
        <v>50</v>
      </c>
      <c r="G57" s="18" t="str">
        <f t="shared" si="15"/>
        <v/>
      </c>
      <c r="H57" s="15" t="str">
        <f t="shared" si="16"/>
        <v>미입력</v>
      </c>
      <c r="I57" s="17">
        <f t="shared" si="17"/>
        <v>65</v>
      </c>
      <c r="J57" s="18" t="str">
        <f t="shared" si="18"/>
        <v/>
      </c>
      <c r="K57" s="15" t="str">
        <f t="shared" si="19"/>
        <v>미입력</v>
      </c>
    </row>
    <row r="58" spans="1:11" ht="18" customHeight="1">
      <c r="A58" s="23">
        <v>46319</v>
      </c>
      <c r="B58" s="24" t="s">
        <v>56</v>
      </c>
      <c r="C58" s="16"/>
      <c r="D58" s="16"/>
      <c r="E58" s="16"/>
      <c r="F58" s="25">
        <f t="shared" si="14"/>
        <v>50</v>
      </c>
      <c r="G58" s="26" t="str">
        <f t="shared" si="15"/>
        <v/>
      </c>
      <c r="H58" s="24" t="str">
        <f t="shared" si="16"/>
        <v>미입력</v>
      </c>
      <c r="I58" s="25">
        <f t="shared" si="17"/>
        <v>65</v>
      </c>
      <c r="J58" s="26" t="str">
        <f t="shared" si="18"/>
        <v/>
      </c>
      <c r="K58" s="24" t="str">
        <f t="shared" si="19"/>
        <v>미입력</v>
      </c>
    </row>
    <row r="59" spans="1:11" ht="18" customHeight="1">
      <c r="A59" s="27">
        <v>46320</v>
      </c>
      <c r="B59" s="28" t="s">
        <v>58</v>
      </c>
      <c r="C59" s="16"/>
      <c r="D59" s="16"/>
      <c r="E59" s="16"/>
      <c r="F59" s="29">
        <f t="shared" si="14"/>
        <v>50</v>
      </c>
      <c r="G59" s="30" t="str">
        <f t="shared" si="15"/>
        <v/>
      </c>
      <c r="H59" s="28" t="str">
        <f t="shared" si="16"/>
        <v>미입력</v>
      </c>
      <c r="I59" s="29">
        <f t="shared" si="17"/>
        <v>65</v>
      </c>
      <c r="J59" s="30" t="str">
        <f t="shared" si="18"/>
        <v/>
      </c>
      <c r="K59" s="28" t="str">
        <f t="shared" si="19"/>
        <v>미입력</v>
      </c>
    </row>
    <row r="60" spans="1:11" ht="18" customHeight="1">
      <c r="A60" s="14">
        <v>46321</v>
      </c>
      <c r="B60" s="15" t="s">
        <v>60</v>
      </c>
      <c r="C60" s="16"/>
      <c r="D60" s="16"/>
      <c r="E60" s="16"/>
      <c r="F60" s="17">
        <f t="shared" si="14"/>
        <v>50</v>
      </c>
      <c r="G60" s="18" t="str">
        <f t="shared" si="15"/>
        <v/>
      </c>
      <c r="H60" s="15" t="str">
        <f t="shared" si="16"/>
        <v>미입력</v>
      </c>
      <c r="I60" s="17">
        <f t="shared" si="17"/>
        <v>65</v>
      </c>
      <c r="J60" s="18" t="str">
        <f t="shared" si="18"/>
        <v/>
      </c>
      <c r="K60" s="15" t="str">
        <f t="shared" si="19"/>
        <v>미입력</v>
      </c>
    </row>
    <row r="61" spans="1:11" ht="18" customHeight="1">
      <c r="A61" s="14">
        <v>46322</v>
      </c>
      <c r="B61" s="15" t="s">
        <v>47</v>
      </c>
      <c r="C61" s="16"/>
      <c r="D61" s="16"/>
      <c r="E61" s="16"/>
      <c r="F61" s="17">
        <f t="shared" si="14"/>
        <v>50</v>
      </c>
      <c r="G61" s="18" t="str">
        <f t="shared" si="15"/>
        <v/>
      </c>
      <c r="H61" s="15" t="str">
        <f t="shared" si="16"/>
        <v>미입력</v>
      </c>
      <c r="I61" s="17">
        <f t="shared" si="17"/>
        <v>65</v>
      </c>
      <c r="J61" s="18" t="str">
        <f t="shared" si="18"/>
        <v/>
      </c>
      <c r="K61" s="15" t="str">
        <f t="shared" si="19"/>
        <v>미입력</v>
      </c>
    </row>
    <row r="62" spans="1:11" ht="18" customHeight="1">
      <c r="A62" s="14">
        <v>46323</v>
      </c>
      <c r="B62" s="15" t="s">
        <v>49</v>
      </c>
      <c r="C62" s="16"/>
      <c r="D62" s="16"/>
      <c r="E62" s="16"/>
      <c r="F62" s="17">
        <f t="shared" si="14"/>
        <v>50</v>
      </c>
      <c r="G62" s="18" t="str">
        <f t="shared" si="15"/>
        <v/>
      </c>
      <c r="H62" s="15" t="str">
        <f t="shared" si="16"/>
        <v>미입력</v>
      </c>
      <c r="I62" s="17">
        <f t="shared" si="17"/>
        <v>65</v>
      </c>
      <c r="J62" s="18" t="str">
        <f t="shared" si="18"/>
        <v/>
      </c>
      <c r="K62" s="15" t="str">
        <f t="shared" si="19"/>
        <v>미입력</v>
      </c>
    </row>
    <row r="63" spans="1:11" ht="18" customHeight="1">
      <c r="A63" s="14">
        <v>46324</v>
      </c>
      <c r="B63" s="15" t="s">
        <v>51</v>
      </c>
      <c r="C63" s="16"/>
      <c r="D63" s="16"/>
      <c r="E63" s="16"/>
      <c r="F63" s="17">
        <f t="shared" si="14"/>
        <v>50</v>
      </c>
      <c r="G63" s="18" t="str">
        <f t="shared" si="15"/>
        <v/>
      </c>
      <c r="H63" s="15" t="str">
        <f t="shared" si="16"/>
        <v>미입력</v>
      </c>
      <c r="I63" s="17">
        <f t="shared" si="17"/>
        <v>65</v>
      </c>
      <c r="J63" s="18" t="str">
        <f t="shared" si="18"/>
        <v/>
      </c>
      <c r="K63" s="15" t="str">
        <f t="shared" si="19"/>
        <v>미입력</v>
      </c>
    </row>
    <row r="64" spans="1:11" ht="18" customHeight="1">
      <c r="A64" s="14">
        <v>46325</v>
      </c>
      <c r="B64" s="15" t="s">
        <v>54</v>
      </c>
      <c r="C64" s="16"/>
      <c r="D64" s="16"/>
      <c r="E64" s="16"/>
      <c r="F64" s="17">
        <f t="shared" si="14"/>
        <v>50</v>
      </c>
      <c r="G64" s="18" t="str">
        <f t="shared" si="15"/>
        <v/>
      </c>
      <c r="H64" s="15" t="str">
        <f t="shared" si="16"/>
        <v>미입력</v>
      </c>
      <c r="I64" s="17">
        <f t="shared" si="17"/>
        <v>65</v>
      </c>
      <c r="J64" s="18" t="str">
        <f t="shared" si="18"/>
        <v/>
      </c>
      <c r="K64" s="15" t="str">
        <f t="shared" si="19"/>
        <v>미입력</v>
      </c>
    </row>
    <row r="65" spans="1:11" ht="18" customHeight="1">
      <c r="A65" s="23">
        <v>46326</v>
      </c>
      <c r="B65" s="24" t="s">
        <v>56</v>
      </c>
      <c r="C65" s="16"/>
      <c r="D65" s="16"/>
      <c r="E65" s="16"/>
      <c r="F65" s="25">
        <f t="shared" si="14"/>
        <v>50</v>
      </c>
      <c r="G65" s="26" t="str">
        <f t="shared" si="15"/>
        <v/>
      </c>
      <c r="H65" s="24" t="str">
        <f t="shared" si="16"/>
        <v>미입력</v>
      </c>
      <c r="I65" s="25">
        <f t="shared" si="17"/>
        <v>65</v>
      </c>
      <c r="J65" s="26" t="str">
        <f t="shared" si="18"/>
        <v/>
      </c>
      <c r="K65" s="24" t="str">
        <f t="shared" si="19"/>
        <v>미입력</v>
      </c>
    </row>
    <row r="66" spans="1:11" ht="18" customHeight="1">
      <c r="A66" s="27">
        <v>46327</v>
      </c>
      <c r="B66" s="28" t="s">
        <v>58</v>
      </c>
      <c r="C66" s="16"/>
      <c r="D66" s="16"/>
      <c r="E66" s="16"/>
      <c r="F66" s="29">
        <f t="shared" si="14"/>
        <v>50</v>
      </c>
      <c r="G66" s="30" t="str">
        <f t="shared" si="15"/>
        <v/>
      </c>
      <c r="H66" s="28" t="str">
        <f t="shared" si="16"/>
        <v>미입력</v>
      </c>
      <c r="I66" s="29">
        <f t="shared" si="17"/>
        <v>65</v>
      </c>
      <c r="J66" s="30" t="str">
        <f t="shared" si="18"/>
        <v/>
      </c>
      <c r="K66" s="28" t="str">
        <f t="shared" si="19"/>
        <v>미입력</v>
      </c>
    </row>
    <row r="67" spans="1:11" ht="18" customHeight="1">
      <c r="A67" s="14">
        <v>46328</v>
      </c>
      <c r="B67" s="15" t="s">
        <v>60</v>
      </c>
      <c r="C67" s="16"/>
      <c r="D67" s="16"/>
      <c r="E67" s="16"/>
      <c r="F67" s="17">
        <f t="shared" si="14"/>
        <v>50</v>
      </c>
      <c r="G67" s="18" t="str">
        <f t="shared" si="15"/>
        <v/>
      </c>
      <c r="H67" s="15" t="str">
        <f t="shared" si="16"/>
        <v>미입력</v>
      </c>
      <c r="I67" s="17">
        <f t="shared" si="17"/>
        <v>65</v>
      </c>
      <c r="J67" s="18" t="str">
        <f t="shared" si="18"/>
        <v/>
      </c>
      <c r="K67" s="15" t="str">
        <f t="shared" si="19"/>
        <v>미입력</v>
      </c>
    </row>
    <row r="68" spans="1:11" ht="18" customHeight="1">
      <c r="A68" s="14">
        <v>46329</v>
      </c>
      <c r="B68" s="15" t="s">
        <v>47</v>
      </c>
      <c r="C68" s="16"/>
      <c r="D68" s="16"/>
      <c r="E68" s="16"/>
      <c r="F68" s="17">
        <f t="shared" si="14"/>
        <v>50</v>
      </c>
      <c r="G68" s="18" t="str">
        <f t="shared" si="15"/>
        <v/>
      </c>
      <c r="H68" s="15" t="str">
        <f t="shared" si="16"/>
        <v>미입력</v>
      </c>
      <c r="I68" s="17">
        <f t="shared" si="17"/>
        <v>65</v>
      </c>
      <c r="J68" s="18" t="str">
        <f t="shared" si="18"/>
        <v/>
      </c>
      <c r="K68" s="15" t="str">
        <f t="shared" si="19"/>
        <v>미입력</v>
      </c>
    </row>
    <row r="69" spans="1:11" ht="18" customHeight="1">
      <c r="A69" s="14">
        <v>46330</v>
      </c>
      <c r="B69" s="15" t="s">
        <v>49</v>
      </c>
      <c r="C69" s="16"/>
      <c r="D69" s="16"/>
      <c r="E69" s="16"/>
      <c r="F69" s="17">
        <f t="shared" ref="F69:F100" si="20">IF(OR($E69="오전반차",$E69="오후반차"),$D$2/2,$D$2)</f>
        <v>50</v>
      </c>
      <c r="G69" s="18" t="str">
        <f t="shared" ref="G69:G100" si="21">IF($C69="","",$C69/$F69)</f>
        <v/>
      </c>
      <c r="H69" s="15" t="str">
        <f t="shared" ref="H69:H100" si="22">IF($C69="",IF($E69="","미입력",$E69),IF($C69&gt;=$F69,"달성","미달"))</f>
        <v>미입력</v>
      </c>
      <c r="I69" s="17">
        <f t="shared" ref="I69:I100" si="23">IF(OR($E69="오전반차",$E69="오후반차"),$F$2/2,$F$2)</f>
        <v>65</v>
      </c>
      <c r="J69" s="18" t="str">
        <f t="shared" ref="J69:J100" si="24">IF($D69="","",$D69/$I69)</f>
        <v/>
      </c>
      <c r="K69" s="15" t="str">
        <f t="shared" ref="K69:K100" si="25">IF($D69="",IF($E69="","미입력",$E69),IF($D69&gt;=$I69,"달성","미달"))</f>
        <v>미입력</v>
      </c>
    </row>
    <row r="70" spans="1:11" ht="18" customHeight="1">
      <c r="A70" s="14">
        <v>46331</v>
      </c>
      <c r="B70" s="15" t="s">
        <v>51</v>
      </c>
      <c r="C70" s="16"/>
      <c r="D70" s="16"/>
      <c r="E70" s="16"/>
      <c r="F70" s="17">
        <f t="shared" si="20"/>
        <v>50</v>
      </c>
      <c r="G70" s="18" t="str">
        <f t="shared" si="21"/>
        <v/>
      </c>
      <c r="H70" s="15" t="str">
        <f t="shared" si="22"/>
        <v>미입력</v>
      </c>
      <c r="I70" s="17">
        <f t="shared" si="23"/>
        <v>65</v>
      </c>
      <c r="J70" s="18" t="str">
        <f t="shared" si="24"/>
        <v/>
      </c>
      <c r="K70" s="15" t="str">
        <f t="shared" si="25"/>
        <v>미입력</v>
      </c>
    </row>
    <row r="71" spans="1:11" ht="18" customHeight="1">
      <c r="A71" s="14">
        <v>46332</v>
      </c>
      <c r="B71" s="15" t="s">
        <v>54</v>
      </c>
      <c r="C71" s="16"/>
      <c r="D71" s="16"/>
      <c r="E71" s="16"/>
      <c r="F71" s="17">
        <f t="shared" si="20"/>
        <v>50</v>
      </c>
      <c r="G71" s="18" t="str">
        <f t="shared" si="21"/>
        <v/>
      </c>
      <c r="H71" s="15" t="str">
        <f t="shared" si="22"/>
        <v>미입력</v>
      </c>
      <c r="I71" s="17">
        <f t="shared" si="23"/>
        <v>65</v>
      </c>
      <c r="J71" s="18" t="str">
        <f t="shared" si="24"/>
        <v/>
      </c>
      <c r="K71" s="15" t="str">
        <f t="shared" si="25"/>
        <v>미입력</v>
      </c>
    </row>
    <row r="72" spans="1:11" ht="18" customHeight="1">
      <c r="A72" s="23">
        <v>46333</v>
      </c>
      <c r="B72" s="24" t="s">
        <v>56</v>
      </c>
      <c r="C72" s="16"/>
      <c r="D72" s="16"/>
      <c r="E72" s="16"/>
      <c r="F72" s="25">
        <f t="shared" si="20"/>
        <v>50</v>
      </c>
      <c r="G72" s="26" t="str">
        <f t="shared" si="21"/>
        <v/>
      </c>
      <c r="H72" s="24" t="str">
        <f t="shared" si="22"/>
        <v>미입력</v>
      </c>
      <c r="I72" s="25">
        <f t="shared" si="23"/>
        <v>65</v>
      </c>
      <c r="J72" s="26" t="str">
        <f t="shared" si="24"/>
        <v/>
      </c>
      <c r="K72" s="24" t="str">
        <f t="shared" si="25"/>
        <v>미입력</v>
      </c>
    </row>
    <row r="73" spans="1:11" ht="18" customHeight="1">
      <c r="A73" s="27">
        <v>46334</v>
      </c>
      <c r="B73" s="28" t="s">
        <v>58</v>
      </c>
      <c r="C73" s="16"/>
      <c r="D73" s="16"/>
      <c r="E73" s="16"/>
      <c r="F73" s="29">
        <f t="shared" si="20"/>
        <v>50</v>
      </c>
      <c r="G73" s="30" t="str">
        <f t="shared" si="21"/>
        <v/>
      </c>
      <c r="H73" s="28" t="str">
        <f t="shared" si="22"/>
        <v>미입력</v>
      </c>
      <c r="I73" s="29">
        <f t="shared" si="23"/>
        <v>65</v>
      </c>
      <c r="J73" s="30" t="str">
        <f t="shared" si="24"/>
        <v/>
      </c>
      <c r="K73" s="28" t="str">
        <f t="shared" si="25"/>
        <v>미입력</v>
      </c>
    </row>
    <row r="74" spans="1:11" ht="18" customHeight="1">
      <c r="A74" s="14">
        <v>46335</v>
      </c>
      <c r="B74" s="15" t="s">
        <v>60</v>
      </c>
      <c r="C74" s="16"/>
      <c r="D74" s="16"/>
      <c r="E74" s="16"/>
      <c r="F74" s="17">
        <f t="shared" si="20"/>
        <v>50</v>
      </c>
      <c r="G74" s="18" t="str">
        <f t="shared" si="21"/>
        <v/>
      </c>
      <c r="H74" s="15" t="str">
        <f t="shared" si="22"/>
        <v>미입력</v>
      </c>
      <c r="I74" s="17">
        <f t="shared" si="23"/>
        <v>65</v>
      </c>
      <c r="J74" s="18" t="str">
        <f t="shared" si="24"/>
        <v/>
      </c>
      <c r="K74" s="15" t="str">
        <f t="shared" si="25"/>
        <v>미입력</v>
      </c>
    </row>
    <row r="75" spans="1:11" ht="18" customHeight="1">
      <c r="A75" s="14">
        <v>46336</v>
      </c>
      <c r="B75" s="15" t="s">
        <v>47</v>
      </c>
      <c r="C75" s="16"/>
      <c r="D75" s="16"/>
      <c r="E75" s="16"/>
      <c r="F75" s="17">
        <f t="shared" si="20"/>
        <v>50</v>
      </c>
      <c r="G75" s="18" t="str">
        <f t="shared" si="21"/>
        <v/>
      </c>
      <c r="H75" s="15" t="str">
        <f t="shared" si="22"/>
        <v>미입력</v>
      </c>
      <c r="I75" s="17">
        <f t="shared" si="23"/>
        <v>65</v>
      </c>
      <c r="J75" s="18" t="str">
        <f t="shared" si="24"/>
        <v/>
      </c>
      <c r="K75" s="15" t="str">
        <f t="shared" si="25"/>
        <v>미입력</v>
      </c>
    </row>
    <row r="76" spans="1:11" ht="18" customHeight="1">
      <c r="A76" s="14">
        <v>46337</v>
      </c>
      <c r="B76" s="15" t="s">
        <v>49</v>
      </c>
      <c r="C76" s="16"/>
      <c r="D76" s="16"/>
      <c r="E76" s="16"/>
      <c r="F76" s="17">
        <f t="shared" si="20"/>
        <v>50</v>
      </c>
      <c r="G76" s="18" t="str">
        <f t="shared" si="21"/>
        <v/>
      </c>
      <c r="H76" s="15" t="str">
        <f t="shared" si="22"/>
        <v>미입력</v>
      </c>
      <c r="I76" s="17">
        <f t="shared" si="23"/>
        <v>65</v>
      </c>
      <c r="J76" s="18" t="str">
        <f t="shared" si="24"/>
        <v/>
      </c>
      <c r="K76" s="15" t="str">
        <f t="shared" si="25"/>
        <v>미입력</v>
      </c>
    </row>
    <row r="77" spans="1:11" ht="18" customHeight="1">
      <c r="A77" s="14">
        <v>46338</v>
      </c>
      <c r="B77" s="15" t="s">
        <v>51</v>
      </c>
      <c r="C77" s="16"/>
      <c r="D77" s="16"/>
      <c r="E77" s="16"/>
      <c r="F77" s="17">
        <f t="shared" si="20"/>
        <v>50</v>
      </c>
      <c r="G77" s="18" t="str">
        <f t="shared" si="21"/>
        <v/>
      </c>
      <c r="H77" s="15" t="str">
        <f t="shared" si="22"/>
        <v>미입력</v>
      </c>
      <c r="I77" s="17">
        <f t="shared" si="23"/>
        <v>65</v>
      </c>
      <c r="J77" s="18" t="str">
        <f t="shared" si="24"/>
        <v/>
      </c>
      <c r="K77" s="15" t="str">
        <f t="shared" si="25"/>
        <v>미입력</v>
      </c>
    </row>
    <row r="78" spans="1:11" ht="18" customHeight="1">
      <c r="A78" s="14">
        <v>46339</v>
      </c>
      <c r="B78" s="15" t="s">
        <v>54</v>
      </c>
      <c r="C78" s="16"/>
      <c r="D78" s="16"/>
      <c r="E78" s="16"/>
      <c r="F78" s="17">
        <f t="shared" si="20"/>
        <v>50</v>
      </c>
      <c r="G78" s="18" t="str">
        <f t="shared" si="21"/>
        <v/>
      </c>
      <c r="H78" s="15" t="str">
        <f t="shared" si="22"/>
        <v>미입력</v>
      </c>
      <c r="I78" s="17">
        <f t="shared" si="23"/>
        <v>65</v>
      </c>
      <c r="J78" s="18" t="str">
        <f t="shared" si="24"/>
        <v/>
      </c>
      <c r="K78" s="15" t="str">
        <f t="shared" si="25"/>
        <v>미입력</v>
      </c>
    </row>
    <row r="79" spans="1:11" ht="18" customHeight="1">
      <c r="A79" s="23">
        <v>46340</v>
      </c>
      <c r="B79" s="24" t="s">
        <v>56</v>
      </c>
      <c r="C79" s="16"/>
      <c r="D79" s="16"/>
      <c r="E79" s="16"/>
      <c r="F79" s="25">
        <f t="shared" si="20"/>
        <v>50</v>
      </c>
      <c r="G79" s="26" t="str">
        <f t="shared" si="21"/>
        <v/>
      </c>
      <c r="H79" s="24" t="str">
        <f t="shared" si="22"/>
        <v>미입력</v>
      </c>
      <c r="I79" s="25">
        <f t="shared" si="23"/>
        <v>65</v>
      </c>
      <c r="J79" s="26" t="str">
        <f t="shared" si="24"/>
        <v/>
      </c>
      <c r="K79" s="24" t="str">
        <f t="shared" si="25"/>
        <v>미입력</v>
      </c>
    </row>
    <row r="80" spans="1:11" ht="18" customHeight="1">
      <c r="A80" s="27">
        <v>46341</v>
      </c>
      <c r="B80" s="28" t="s">
        <v>58</v>
      </c>
      <c r="C80" s="16"/>
      <c r="D80" s="16"/>
      <c r="E80" s="16"/>
      <c r="F80" s="29">
        <f t="shared" si="20"/>
        <v>50</v>
      </c>
      <c r="G80" s="30" t="str">
        <f t="shared" si="21"/>
        <v/>
      </c>
      <c r="H80" s="28" t="str">
        <f t="shared" si="22"/>
        <v>미입력</v>
      </c>
      <c r="I80" s="29">
        <f t="shared" si="23"/>
        <v>65</v>
      </c>
      <c r="J80" s="30" t="str">
        <f t="shared" si="24"/>
        <v/>
      </c>
      <c r="K80" s="28" t="str">
        <f t="shared" si="25"/>
        <v>미입력</v>
      </c>
    </row>
    <row r="81" spans="1:11" ht="18" customHeight="1">
      <c r="A81" s="14">
        <v>46342</v>
      </c>
      <c r="B81" s="15" t="s">
        <v>60</v>
      </c>
      <c r="C81" s="16"/>
      <c r="D81" s="16"/>
      <c r="E81" s="16"/>
      <c r="F81" s="17">
        <f t="shared" si="20"/>
        <v>50</v>
      </c>
      <c r="G81" s="18" t="str">
        <f t="shared" si="21"/>
        <v/>
      </c>
      <c r="H81" s="15" t="str">
        <f t="shared" si="22"/>
        <v>미입력</v>
      </c>
      <c r="I81" s="17">
        <f t="shared" si="23"/>
        <v>65</v>
      </c>
      <c r="J81" s="18" t="str">
        <f t="shared" si="24"/>
        <v/>
      </c>
      <c r="K81" s="15" t="str">
        <f t="shared" si="25"/>
        <v>미입력</v>
      </c>
    </row>
    <row r="82" spans="1:11" ht="18" customHeight="1">
      <c r="A82" s="14">
        <v>46343</v>
      </c>
      <c r="B82" s="15" t="s">
        <v>47</v>
      </c>
      <c r="C82" s="16"/>
      <c r="D82" s="16"/>
      <c r="E82" s="16"/>
      <c r="F82" s="17">
        <f t="shared" si="20"/>
        <v>50</v>
      </c>
      <c r="G82" s="18" t="str">
        <f t="shared" si="21"/>
        <v/>
      </c>
      <c r="H82" s="15" t="str">
        <f t="shared" si="22"/>
        <v>미입력</v>
      </c>
      <c r="I82" s="17">
        <f t="shared" si="23"/>
        <v>65</v>
      </c>
      <c r="J82" s="18" t="str">
        <f t="shared" si="24"/>
        <v/>
      </c>
      <c r="K82" s="15" t="str">
        <f t="shared" si="25"/>
        <v>미입력</v>
      </c>
    </row>
    <row r="83" spans="1:11" ht="18" customHeight="1">
      <c r="A83" s="14">
        <v>46344</v>
      </c>
      <c r="B83" s="15" t="s">
        <v>49</v>
      </c>
      <c r="C83" s="16"/>
      <c r="D83" s="16"/>
      <c r="E83" s="16"/>
      <c r="F83" s="17">
        <f t="shared" si="20"/>
        <v>50</v>
      </c>
      <c r="G83" s="18" t="str">
        <f t="shared" si="21"/>
        <v/>
      </c>
      <c r="H83" s="15" t="str">
        <f t="shared" si="22"/>
        <v>미입력</v>
      </c>
      <c r="I83" s="17">
        <f t="shared" si="23"/>
        <v>65</v>
      </c>
      <c r="J83" s="18" t="str">
        <f t="shared" si="24"/>
        <v/>
      </c>
      <c r="K83" s="15" t="str">
        <f t="shared" si="25"/>
        <v>미입력</v>
      </c>
    </row>
    <row r="84" spans="1:11" ht="18" customHeight="1">
      <c r="A84" s="14">
        <v>46345</v>
      </c>
      <c r="B84" s="15" t="s">
        <v>51</v>
      </c>
      <c r="C84" s="16"/>
      <c r="D84" s="16"/>
      <c r="E84" s="16"/>
      <c r="F84" s="17">
        <f t="shared" si="20"/>
        <v>50</v>
      </c>
      <c r="G84" s="18" t="str">
        <f t="shared" si="21"/>
        <v/>
      </c>
      <c r="H84" s="15" t="str">
        <f t="shared" si="22"/>
        <v>미입력</v>
      </c>
      <c r="I84" s="17">
        <f t="shared" si="23"/>
        <v>65</v>
      </c>
      <c r="J84" s="18" t="str">
        <f t="shared" si="24"/>
        <v/>
      </c>
      <c r="K84" s="15" t="str">
        <f t="shared" si="25"/>
        <v>미입력</v>
      </c>
    </row>
    <row r="85" spans="1:11" ht="18" customHeight="1">
      <c r="A85" s="14">
        <v>46346</v>
      </c>
      <c r="B85" s="15" t="s">
        <v>54</v>
      </c>
      <c r="C85" s="16"/>
      <c r="D85" s="16"/>
      <c r="E85" s="16"/>
      <c r="F85" s="17">
        <f t="shared" si="20"/>
        <v>50</v>
      </c>
      <c r="G85" s="18" t="str">
        <f t="shared" si="21"/>
        <v/>
      </c>
      <c r="H85" s="15" t="str">
        <f t="shared" si="22"/>
        <v>미입력</v>
      </c>
      <c r="I85" s="17">
        <f t="shared" si="23"/>
        <v>65</v>
      </c>
      <c r="J85" s="18" t="str">
        <f t="shared" si="24"/>
        <v/>
      </c>
      <c r="K85" s="15" t="str">
        <f t="shared" si="25"/>
        <v>미입력</v>
      </c>
    </row>
    <row r="86" spans="1:11" ht="18" customHeight="1">
      <c r="A86" s="23">
        <v>46347</v>
      </c>
      <c r="B86" s="24" t="s">
        <v>56</v>
      </c>
      <c r="C86" s="16"/>
      <c r="D86" s="16"/>
      <c r="E86" s="16"/>
      <c r="F86" s="25">
        <f t="shared" si="20"/>
        <v>50</v>
      </c>
      <c r="G86" s="26" t="str">
        <f t="shared" si="21"/>
        <v/>
      </c>
      <c r="H86" s="24" t="str">
        <f t="shared" si="22"/>
        <v>미입력</v>
      </c>
      <c r="I86" s="25">
        <f t="shared" si="23"/>
        <v>65</v>
      </c>
      <c r="J86" s="26" t="str">
        <f t="shared" si="24"/>
        <v/>
      </c>
      <c r="K86" s="24" t="str">
        <f t="shared" si="25"/>
        <v>미입력</v>
      </c>
    </row>
    <row r="87" spans="1:11" ht="18" customHeight="1">
      <c r="A87" s="27">
        <v>46348</v>
      </c>
      <c r="B87" s="28" t="s">
        <v>58</v>
      </c>
      <c r="C87" s="16"/>
      <c r="D87" s="16"/>
      <c r="E87" s="16"/>
      <c r="F87" s="29">
        <f t="shared" si="20"/>
        <v>50</v>
      </c>
      <c r="G87" s="30" t="str">
        <f t="shared" si="21"/>
        <v/>
      </c>
      <c r="H87" s="28" t="str">
        <f t="shared" si="22"/>
        <v>미입력</v>
      </c>
      <c r="I87" s="29">
        <f t="shared" si="23"/>
        <v>65</v>
      </c>
      <c r="J87" s="30" t="str">
        <f t="shared" si="24"/>
        <v/>
      </c>
      <c r="K87" s="28" t="str">
        <f t="shared" si="25"/>
        <v>미입력</v>
      </c>
    </row>
    <row r="88" spans="1:11" ht="18" customHeight="1">
      <c r="A88" s="14">
        <v>46349</v>
      </c>
      <c r="B88" s="15" t="s">
        <v>60</v>
      </c>
      <c r="C88" s="16"/>
      <c r="D88" s="16"/>
      <c r="E88" s="16"/>
      <c r="F88" s="17">
        <f t="shared" si="20"/>
        <v>50</v>
      </c>
      <c r="G88" s="18" t="str">
        <f t="shared" si="21"/>
        <v/>
      </c>
      <c r="H88" s="15" t="str">
        <f t="shared" si="22"/>
        <v>미입력</v>
      </c>
      <c r="I88" s="17">
        <f t="shared" si="23"/>
        <v>65</v>
      </c>
      <c r="J88" s="18" t="str">
        <f t="shared" si="24"/>
        <v/>
      </c>
      <c r="K88" s="15" t="str">
        <f t="shared" si="25"/>
        <v>미입력</v>
      </c>
    </row>
    <row r="89" spans="1:11" ht="18" customHeight="1">
      <c r="A89" s="14">
        <v>46350</v>
      </c>
      <c r="B89" s="15" t="s">
        <v>47</v>
      </c>
      <c r="C89" s="16"/>
      <c r="D89" s="16"/>
      <c r="E89" s="16"/>
      <c r="F89" s="17">
        <f t="shared" si="20"/>
        <v>50</v>
      </c>
      <c r="G89" s="18" t="str">
        <f t="shared" si="21"/>
        <v/>
      </c>
      <c r="H89" s="15" t="str">
        <f t="shared" si="22"/>
        <v>미입력</v>
      </c>
      <c r="I89" s="17">
        <f t="shared" si="23"/>
        <v>65</v>
      </c>
      <c r="J89" s="18" t="str">
        <f t="shared" si="24"/>
        <v/>
      </c>
      <c r="K89" s="15" t="str">
        <f t="shared" si="25"/>
        <v>미입력</v>
      </c>
    </row>
    <row r="90" spans="1:11" ht="18" customHeight="1">
      <c r="A90" s="14">
        <v>46351</v>
      </c>
      <c r="B90" s="15" t="s">
        <v>49</v>
      </c>
      <c r="C90" s="16"/>
      <c r="D90" s="16"/>
      <c r="E90" s="16"/>
      <c r="F90" s="17">
        <f t="shared" si="20"/>
        <v>50</v>
      </c>
      <c r="G90" s="18" t="str">
        <f t="shared" si="21"/>
        <v/>
      </c>
      <c r="H90" s="15" t="str">
        <f t="shared" si="22"/>
        <v>미입력</v>
      </c>
      <c r="I90" s="17">
        <f t="shared" si="23"/>
        <v>65</v>
      </c>
      <c r="J90" s="18" t="str">
        <f t="shared" si="24"/>
        <v/>
      </c>
      <c r="K90" s="15" t="str">
        <f t="shared" si="25"/>
        <v>미입력</v>
      </c>
    </row>
    <row r="91" spans="1:11" ht="18" customHeight="1">
      <c r="A91" s="14">
        <v>46352</v>
      </c>
      <c r="B91" s="15" t="s">
        <v>51</v>
      </c>
      <c r="C91" s="16"/>
      <c r="D91" s="16"/>
      <c r="E91" s="16"/>
      <c r="F91" s="17">
        <f t="shared" si="20"/>
        <v>50</v>
      </c>
      <c r="G91" s="18" t="str">
        <f t="shared" si="21"/>
        <v/>
      </c>
      <c r="H91" s="15" t="str">
        <f t="shared" si="22"/>
        <v>미입력</v>
      </c>
      <c r="I91" s="17">
        <f t="shared" si="23"/>
        <v>65</v>
      </c>
      <c r="J91" s="18" t="str">
        <f t="shared" si="24"/>
        <v/>
      </c>
      <c r="K91" s="15" t="str">
        <f t="shared" si="25"/>
        <v>미입력</v>
      </c>
    </row>
    <row r="92" spans="1:11" ht="18" customHeight="1">
      <c r="A92" s="14">
        <v>46353</v>
      </c>
      <c r="B92" s="15" t="s">
        <v>54</v>
      </c>
      <c r="C92" s="16"/>
      <c r="D92" s="16"/>
      <c r="E92" s="16"/>
      <c r="F92" s="17">
        <f t="shared" si="20"/>
        <v>50</v>
      </c>
      <c r="G92" s="18" t="str">
        <f t="shared" si="21"/>
        <v/>
      </c>
      <c r="H92" s="15" t="str">
        <f t="shared" si="22"/>
        <v>미입력</v>
      </c>
      <c r="I92" s="17">
        <f t="shared" si="23"/>
        <v>65</v>
      </c>
      <c r="J92" s="18" t="str">
        <f t="shared" si="24"/>
        <v/>
      </c>
      <c r="K92" s="15" t="str">
        <f t="shared" si="25"/>
        <v>미입력</v>
      </c>
    </row>
    <row r="93" spans="1:11" ht="18" customHeight="1">
      <c r="A93" s="23">
        <v>46354</v>
      </c>
      <c r="B93" s="24" t="s">
        <v>56</v>
      </c>
      <c r="C93" s="16"/>
      <c r="D93" s="16"/>
      <c r="E93" s="16"/>
      <c r="F93" s="25">
        <f t="shared" si="20"/>
        <v>50</v>
      </c>
      <c r="G93" s="26" t="str">
        <f t="shared" si="21"/>
        <v/>
      </c>
      <c r="H93" s="24" t="str">
        <f t="shared" si="22"/>
        <v>미입력</v>
      </c>
      <c r="I93" s="25">
        <f t="shared" si="23"/>
        <v>65</v>
      </c>
      <c r="J93" s="26" t="str">
        <f t="shared" si="24"/>
        <v/>
      </c>
      <c r="K93" s="24" t="str">
        <f t="shared" si="25"/>
        <v>미입력</v>
      </c>
    </row>
    <row r="94" spans="1:11" ht="18" customHeight="1">
      <c r="A94" s="27">
        <v>46355</v>
      </c>
      <c r="B94" s="28" t="s">
        <v>58</v>
      </c>
      <c r="C94" s="16"/>
      <c r="D94" s="16"/>
      <c r="E94" s="16"/>
      <c r="F94" s="29">
        <f t="shared" si="20"/>
        <v>50</v>
      </c>
      <c r="G94" s="30" t="str">
        <f t="shared" si="21"/>
        <v/>
      </c>
      <c r="H94" s="28" t="str">
        <f t="shared" si="22"/>
        <v>미입력</v>
      </c>
      <c r="I94" s="29">
        <f t="shared" si="23"/>
        <v>65</v>
      </c>
      <c r="J94" s="30" t="str">
        <f t="shared" si="24"/>
        <v/>
      </c>
      <c r="K94" s="28" t="str">
        <f t="shared" si="25"/>
        <v>미입력</v>
      </c>
    </row>
    <row r="95" spans="1:11" ht="18" customHeight="1">
      <c r="A95" s="14">
        <v>46356</v>
      </c>
      <c r="B95" s="15" t="s">
        <v>60</v>
      </c>
      <c r="C95" s="16"/>
      <c r="D95" s="16"/>
      <c r="E95" s="16"/>
      <c r="F95" s="17">
        <f t="shared" si="20"/>
        <v>50</v>
      </c>
      <c r="G95" s="18" t="str">
        <f t="shared" si="21"/>
        <v/>
      </c>
      <c r="H95" s="15" t="str">
        <f t="shared" si="22"/>
        <v>미입력</v>
      </c>
      <c r="I95" s="17">
        <f t="shared" si="23"/>
        <v>65</v>
      </c>
      <c r="J95" s="18" t="str">
        <f t="shared" si="24"/>
        <v/>
      </c>
      <c r="K95" s="15" t="str">
        <f t="shared" si="25"/>
        <v>미입력</v>
      </c>
    </row>
    <row r="96" spans="1:11" ht="18" customHeight="1">
      <c r="A96" s="14">
        <v>46357</v>
      </c>
      <c r="B96" s="15" t="s">
        <v>47</v>
      </c>
      <c r="C96" s="16"/>
      <c r="D96" s="16"/>
      <c r="E96" s="16"/>
      <c r="F96" s="17">
        <f t="shared" si="20"/>
        <v>50</v>
      </c>
      <c r="G96" s="18" t="str">
        <f t="shared" si="21"/>
        <v/>
      </c>
      <c r="H96" s="15" t="str">
        <f t="shared" si="22"/>
        <v>미입력</v>
      </c>
      <c r="I96" s="17">
        <f t="shared" si="23"/>
        <v>65</v>
      </c>
      <c r="J96" s="18" t="str">
        <f t="shared" si="24"/>
        <v/>
      </c>
      <c r="K96" s="15" t="str">
        <f t="shared" si="25"/>
        <v>미입력</v>
      </c>
    </row>
    <row r="97" spans="1:11" ht="18" customHeight="1">
      <c r="A97" s="14">
        <v>46358</v>
      </c>
      <c r="B97" s="15" t="s">
        <v>49</v>
      </c>
      <c r="C97" s="16"/>
      <c r="D97" s="16"/>
      <c r="E97" s="16"/>
      <c r="F97" s="17">
        <f t="shared" si="20"/>
        <v>50</v>
      </c>
      <c r="G97" s="18" t="str">
        <f t="shared" si="21"/>
        <v/>
      </c>
      <c r="H97" s="15" t="str">
        <f t="shared" si="22"/>
        <v>미입력</v>
      </c>
      <c r="I97" s="17">
        <f t="shared" si="23"/>
        <v>65</v>
      </c>
      <c r="J97" s="18" t="str">
        <f t="shared" si="24"/>
        <v/>
      </c>
      <c r="K97" s="15" t="str">
        <f t="shared" si="25"/>
        <v>미입력</v>
      </c>
    </row>
    <row r="98" spans="1:11" ht="18" customHeight="1">
      <c r="A98" s="14">
        <v>46359</v>
      </c>
      <c r="B98" s="15" t="s">
        <v>51</v>
      </c>
      <c r="C98" s="16"/>
      <c r="D98" s="16"/>
      <c r="E98" s="16"/>
      <c r="F98" s="17">
        <f t="shared" si="20"/>
        <v>50</v>
      </c>
      <c r="G98" s="18" t="str">
        <f t="shared" si="21"/>
        <v/>
      </c>
      <c r="H98" s="15" t="str">
        <f t="shared" si="22"/>
        <v>미입력</v>
      </c>
      <c r="I98" s="17">
        <f t="shared" si="23"/>
        <v>65</v>
      </c>
      <c r="J98" s="18" t="str">
        <f t="shared" si="24"/>
        <v/>
      </c>
      <c r="K98" s="15" t="str">
        <f t="shared" si="25"/>
        <v>미입력</v>
      </c>
    </row>
    <row r="99" spans="1:11" ht="18" customHeight="1">
      <c r="A99" s="14">
        <v>46360</v>
      </c>
      <c r="B99" s="15" t="s">
        <v>54</v>
      </c>
      <c r="C99" s="16"/>
      <c r="D99" s="16"/>
      <c r="E99" s="16"/>
      <c r="F99" s="17">
        <f t="shared" si="20"/>
        <v>50</v>
      </c>
      <c r="G99" s="18" t="str">
        <f t="shared" si="21"/>
        <v/>
      </c>
      <c r="H99" s="15" t="str">
        <f t="shared" si="22"/>
        <v>미입력</v>
      </c>
      <c r="I99" s="17">
        <f t="shared" si="23"/>
        <v>65</v>
      </c>
      <c r="J99" s="18" t="str">
        <f t="shared" si="24"/>
        <v/>
      </c>
      <c r="K99" s="15" t="str">
        <f t="shared" si="25"/>
        <v>미입력</v>
      </c>
    </row>
    <row r="100" spans="1:11" ht="18" customHeight="1">
      <c r="A100" s="23">
        <v>46361</v>
      </c>
      <c r="B100" s="24" t="s">
        <v>56</v>
      </c>
      <c r="C100" s="16"/>
      <c r="D100" s="16"/>
      <c r="E100" s="16"/>
      <c r="F100" s="25">
        <f t="shared" si="20"/>
        <v>50</v>
      </c>
      <c r="G100" s="26" t="str">
        <f t="shared" si="21"/>
        <v/>
      </c>
      <c r="H100" s="24" t="str">
        <f t="shared" si="22"/>
        <v>미입력</v>
      </c>
      <c r="I100" s="25">
        <f t="shared" si="23"/>
        <v>65</v>
      </c>
      <c r="J100" s="26" t="str">
        <f t="shared" si="24"/>
        <v/>
      </c>
      <c r="K100" s="24" t="str">
        <f t="shared" si="25"/>
        <v>미입력</v>
      </c>
    </row>
    <row r="101" spans="1:11" ht="18" customHeight="1">
      <c r="A101" s="27">
        <v>46362</v>
      </c>
      <c r="B101" s="28" t="s">
        <v>58</v>
      </c>
      <c r="C101" s="16"/>
      <c r="D101" s="16"/>
      <c r="E101" s="16"/>
      <c r="F101" s="29">
        <f t="shared" ref="F101:F126" si="26">IF(OR($E101="오전반차",$E101="오후반차"),$D$2/2,$D$2)</f>
        <v>50</v>
      </c>
      <c r="G101" s="30" t="str">
        <f t="shared" ref="G101:G126" si="27">IF($C101="","",$C101/$F101)</f>
        <v/>
      </c>
      <c r="H101" s="28" t="str">
        <f t="shared" ref="H101:H126" si="28">IF($C101="",IF($E101="","미입력",$E101),IF($C101&gt;=$F101,"달성","미달"))</f>
        <v>미입력</v>
      </c>
      <c r="I101" s="29">
        <f t="shared" ref="I101:I126" si="29">IF(OR($E101="오전반차",$E101="오후반차"),$F$2/2,$F$2)</f>
        <v>65</v>
      </c>
      <c r="J101" s="30" t="str">
        <f t="shared" ref="J101:J126" si="30">IF($D101="","",$D101/$I101)</f>
        <v/>
      </c>
      <c r="K101" s="28" t="str">
        <f t="shared" ref="K101:K126" si="31">IF($D101="",IF($E101="","미입력",$E101),IF($D101&gt;=$I101,"달성","미달"))</f>
        <v>미입력</v>
      </c>
    </row>
    <row r="102" spans="1:11" ht="18" customHeight="1">
      <c r="A102" s="14">
        <v>46363</v>
      </c>
      <c r="B102" s="15" t="s">
        <v>60</v>
      </c>
      <c r="C102" s="16"/>
      <c r="D102" s="16"/>
      <c r="E102" s="16"/>
      <c r="F102" s="17">
        <f t="shared" si="26"/>
        <v>50</v>
      </c>
      <c r="G102" s="18" t="str">
        <f t="shared" si="27"/>
        <v/>
      </c>
      <c r="H102" s="15" t="str">
        <f t="shared" si="28"/>
        <v>미입력</v>
      </c>
      <c r="I102" s="17">
        <f t="shared" si="29"/>
        <v>65</v>
      </c>
      <c r="J102" s="18" t="str">
        <f t="shared" si="30"/>
        <v/>
      </c>
      <c r="K102" s="15" t="str">
        <f t="shared" si="31"/>
        <v>미입력</v>
      </c>
    </row>
    <row r="103" spans="1:11" ht="18" customHeight="1">
      <c r="A103" s="14">
        <v>46364</v>
      </c>
      <c r="B103" s="15" t="s">
        <v>47</v>
      </c>
      <c r="C103" s="16"/>
      <c r="D103" s="16"/>
      <c r="E103" s="16"/>
      <c r="F103" s="17">
        <f t="shared" si="26"/>
        <v>50</v>
      </c>
      <c r="G103" s="18" t="str">
        <f t="shared" si="27"/>
        <v/>
      </c>
      <c r="H103" s="15" t="str">
        <f t="shared" si="28"/>
        <v>미입력</v>
      </c>
      <c r="I103" s="17">
        <f t="shared" si="29"/>
        <v>65</v>
      </c>
      <c r="J103" s="18" t="str">
        <f t="shared" si="30"/>
        <v/>
      </c>
      <c r="K103" s="15" t="str">
        <f t="shared" si="31"/>
        <v>미입력</v>
      </c>
    </row>
    <row r="104" spans="1:11" ht="18" customHeight="1">
      <c r="A104" s="14">
        <v>46365</v>
      </c>
      <c r="B104" s="15" t="s">
        <v>49</v>
      </c>
      <c r="C104" s="16"/>
      <c r="D104" s="16"/>
      <c r="E104" s="16"/>
      <c r="F104" s="17">
        <f t="shared" si="26"/>
        <v>50</v>
      </c>
      <c r="G104" s="18" t="str">
        <f t="shared" si="27"/>
        <v/>
      </c>
      <c r="H104" s="15" t="str">
        <f t="shared" si="28"/>
        <v>미입력</v>
      </c>
      <c r="I104" s="17">
        <f t="shared" si="29"/>
        <v>65</v>
      </c>
      <c r="J104" s="18" t="str">
        <f t="shared" si="30"/>
        <v/>
      </c>
      <c r="K104" s="15" t="str">
        <f t="shared" si="31"/>
        <v>미입력</v>
      </c>
    </row>
    <row r="105" spans="1:11" ht="18" customHeight="1">
      <c r="A105" s="14">
        <v>46366</v>
      </c>
      <c r="B105" s="15" t="s">
        <v>51</v>
      </c>
      <c r="C105" s="16"/>
      <c r="D105" s="16"/>
      <c r="E105" s="16"/>
      <c r="F105" s="17">
        <f t="shared" si="26"/>
        <v>50</v>
      </c>
      <c r="G105" s="18" t="str">
        <f t="shared" si="27"/>
        <v/>
      </c>
      <c r="H105" s="15" t="str">
        <f t="shared" si="28"/>
        <v>미입력</v>
      </c>
      <c r="I105" s="17">
        <f t="shared" si="29"/>
        <v>65</v>
      </c>
      <c r="J105" s="18" t="str">
        <f t="shared" si="30"/>
        <v/>
      </c>
      <c r="K105" s="15" t="str">
        <f t="shared" si="31"/>
        <v>미입력</v>
      </c>
    </row>
    <row r="106" spans="1:11" ht="18" customHeight="1">
      <c r="A106" s="14">
        <v>46367</v>
      </c>
      <c r="B106" s="15" t="s">
        <v>54</v>
      </c>
      <c r="C106" s="16"/>
      <c r="D106" s="16"/>
      <c r="E106" s="16"/>
      <c r="F106" s="17">
        <f t="shared" si="26"/>
        <v>50</v>
      </c>
      <c r="G106" s="18" t="str">
        <f t="shared" si="27"/>
        <v/>
      </c>
      <c r="H106" s="15" t="str">
        <f t="shared" si="28"/>
        <v>미입력</v>
      </c>
      <c r="I106" s="17">
        <f t="shared" si="29"/>
        <v>65</v>
      </c>
      <c r="J106" s="18" t="str">
        <f t="shared" si="30"/>
        <v/>
      </c>
      <c r="K106" s="15" t="str">
        <f t="shared" si="31"/>
        <v>미입력</v>
      </c>
    </row>
    <row r="107" spans="1:11" ht="18" customHeight="1">
      <c r="A107" s="23">
        <v>46368</v>
      </c>
      <c r="B107" s="24" t="s">
        <v>56</v>
      </c>
      <c r="C107" s="16"/>
      <c r="D107" s="16"/>
      <c r="E107" s="16"/>
      <c r="F107" s="25">
        <f t="shared" si="26"/>
        <v>50</v>
      </c>
      <c r="G107" s="26" t="str">
        <f t="shared" si="27"/>
        <v/>
      </c>
      <c r="H107" s="24" t="str">
        <f t="shared" si="28"/>
        <v>미입력</v>
      </c>
      <c r="I107" s="25">
        <f t="shared" si="29"/>
        <v>65</v>
      </c>
      <c r="J107" s="26" t="str">
        <f t="shared" si="30"/>
        <v/>
      </c>
      <c r="K107" s="24" t="str">
        <f t="shared" si="31"/>
        <v>미입력</v>
      </c>
    </row>
    <row r="108" spans="1:11" ht="18" customHeight="1">
      <c r="A108" s="27">
        <v>46369</v>
      </c>
      <c r="B108" s="28" t="s">
        <v>58</v>
      </c>
      <c r="C108" s="16"/>
      <c r="D108" s="16"/>
      <c r="E108" s="16"/>
      <c r="F108" s="29">
        <f t="shared" si="26"/>
        <v>50</v>
      </c>
      <c r="G108" s="30" t="str">
        <f t="shared" si="27"/>
        <v/>
      </c>
      <c r="H108" s="28" t="str">
        <f t="shared" si="28"/>
        <v>미입력</v>
      </c>
      <c r="I108" s="29">
        <f t="shared" si="29"/>
        <v>65</v>
      </c>
      <c r="J108" s="30" t="str">
        <f t="shared" si="30"/>
        <v/>
      </c>
      <c r="K108" s="28" t="str">
        <f t="shared" si="31"/>
        <v>미입력</v>
      </c>
    </row>
    <row r="109" spans="1:11" ht="18" customHeight="1">
      <c r="A109" s="14">
        <v>46370</v>
      </c>
      <c r="B109" s="15" t="s">
        <v>60</v>
      </c>
      <c r="C109" s="16"/>
      <c r="D109" s="16"/>
      <c r="E109" s="16"/>
      <c r="F109" s="17">
        <f t="shared" si="26"/>
        <v>50</v>
      </c>
      <c r="G109" s="18" t="str">
        <f t="shared" si="27"/>
        <v/>
      </c>
      <c r="H109" s="15" t="str">
        <f t="shared" si="28"/>
        <v>미입력</v>
      </c>
      <c r="I109" s="17">
        <f t="shared" si="29"/>
        <v>65</v>
      </c>
      <c r="J109" s="18" t="str">
        <f t="shared" si="30"/>
        <v/>
      </c>
      <c r="K109" s="15" t="str">
        <f t="shared" si="31"/>
        <v>미입력</v>
      </c>
    </row>
    <row r="110" spans="1:11" ht="18" customHeight="1">
      <c r="A110" s="14">
        <v>46371</v>
      </c>
      <c r="B110" s="15" t="s">
        <v>47</v>
      </c>
      <c r="C110" s="16"/>
      <c r="D110" s="16"/>
      <c r="E110" s="16"/>
      <c r="F110" s="17">
        <f t="shared" si="26"/>
        <v>50</v>
      </c>
      <c r="G110" s="18" t="str">
        <f t="shared" si="27"/>
        <v/>
      </c>
      <c r="H110" s="15" t="str">
        <f t="shared" si="28"/>
        <v>미입력</v>
      </c>
      <c r="I110" s="17">
        <f t="shared" si="29"/>
        <v>65</v>
      </c>
      <c r="J110" s="18" t="str">
        <f t="shared" si="30"/>
        <v/>
      </c>
      <c r="K110" s="15" t="str">
        <f t="shared" si="31"/>
        <v>미입력</v>
      </c>
    </row>
    <row r="111" spans="1:11" ht="18" customHeight="1">
      <c r="A111" s="14">
        <v>46372</v>
      </c>
      <c r="B111" s="15" t="s">
        <v>49</v>
      </c>
      <c r="C111" s="16"/>
      <c r="D111" s="16"/>
      <c r="E111" s="16"/>
      <c r="F111" s="17">
        <f t="shared" si="26"/>
        <v>50</v>
      </c>
      <c r="G111" s="18" t="str">
        <f t="shared" si="27"/>
        <v/>
      </c>
      <c r="H111" s="15" t="str">
        <f t="shared" si="28"/>
        <v>미입력</v>
      </c>
      <c r="I111" s="17">
        <f t="shared" si="29"/>
        <v>65</v>
      </c>
      <c r="J111" s="18" t="str">
        <f t="shared" si="30"/>
        <v/>
      </c>
      <c r="K111" s="15" t="str">
        <f t="shared" si="31"/>
        <v>미입력</v>
      </c>
    </row>
    <row r="112" spans="1:11" ht="18" customHeight="1">
      <c r="A112" s="14">
        <v>46373</v>
      </c>
      <c r="B112" s="15" t="s">
        <v>51</v>
      </c>
      <c r="C112" s="16"/>
      <c r="D112" s="16"/>
      <c r="E112" s="16"/>
      <c r="F112" s="17">
        <f t="shared" si="26"/>
        <v>50</v>
      </c>
      <c r="G112" s="18" t="str">
        <f t="shared" si="27"/>
        <v/>
      </c>
      <c r="H112" s="15" t="str">
        <f t="shared" si="28"/>
        <v>미입력</v>
      </c>
      <c r="I112" s="17">
        <f t="shared" si="29"/>
        <v>65</v>
      </c>
      <c r="J112" s="18" t="str">
        <f t="shared" si="30"/>
        <v/>
      </c>
      <c r="K112" s="15" t="str">
        <f t="shared" si="31"/>
        <v>미입력</v>
      </c>
    </row>
    <row r="113" spans="1:11" ht="18" customHeight="1">
      <c r="A113" s="14">
        <v>46374</v>
      </c>
      <c r="B113" s="15" t="s">
        <v>54</v>
      </c>
      <c r="C113" s="16"/>
      <c r="D113" s="16"/>
      <c r="E113" s="16"/>
      <c r="F113" s="17">
        <f t="shared" si="26"/>
        <v>50</v>
      </c>
      <c r="G113" s="18" t="str">
        <f t="shared" si="27"/>
        <v/>
      </c>
      <c r="H113" s="15" t="str">
        <f t="shared" si="28"/>
        <v>미입력</v>
      </c>
      <c r="I113" s="17">
        <f t="shared" si="29"/>
        <v>65</v>
      </c>
      <c r="J113" s="18" t="str">
        <f t="shared" si="30"/>
        <v/>
      </c>
      <c r="K113" s="15" t="str">
        <f t="shared" si="31"/>
        <v>미입력</v>
      </c>
    </row>
    <row r="114" spans="1:11" ht="18" customHeight="1">
      <c r="A114" s="23">
        <v>46375</v>
      </c>
      <c r="B114" s="24" t="s">
        <v>56</v>
      </c>
      <c r="C114" s="16"/>
      <c r="D114" s="16"/>
      <c r="E114" s="16"/>
      <c r="F114" s="25">
        <f t="shared" si="26"/>
        <v>50</v>
      </c>
      <c r="G114" s="26" t="str">
        <f t="shared" si="27"/>
        <v/>
      </c>
      <c r="H114" s="24" t="str">
        <f t="shared" si="28"/>
        <v>미입력</v>
      </c>
      <c r="I114" s="25">
        <f t="shared" si="29"/>
        <v>65</v>
      </c>
      <c r="J114" s="26" t="str">
        <f t="shared" si="30"/>
        <v/>
      </c>
      <c r="K114" s="24" t="str">
        <f t="shared" si="31"/>
        <v>미입력</v>
      </c>
    </row>
    <row r="115" spans="1:11" ht="18" customHeight="1">
      <c r="A115" s="27">
        <v>46376</v>
      </c>
      <c r="B115" s="28" t="s">
        <v>58</v>
      </c>
      <c r="C115" s="16"/>
      <c r="D115" s="16"/>
      <c r="E115" s="16"/>
      <c r="F115" s="29">
        <f t="shared" si="26"/>
        <v>50</v>
      </c>
      <c r="G115" s="30" t="str">
        <f t="shared" si="27"/>
        <v/>
      </c>
      <c r="H115" s="28" t="str">
        <f t="shared" si="28"/>
        <v>미입력</v>
      </c>
      <c r="I115" s="29">
        <f t="shared" si="29"/>
        <v>65</v>
      </c>
      <c r="J115" s="30" t="str">
        <f t="shared" si="30"/>
        <v/>
      </c>
      <c r="K115" s="28" t="str">
        <f t="shared" si="31"/>
        <v>미입력</v>
      </c>
    </row>
    <row r="116" spans="1:11" ht="18" customHeight="1">
      <c r="A116" s="14">
        <v>46377</v>
      </c>
      <c r="B116" s="15" t="s">
        <v>60</v>
      </c>
      <c r="C116" s="16"/>
      <c r="D116" s="16"/>
      <c r="E116" s="16"/>
      <c r="F116" s="17">
        <f t="shared" si="26"/>
        <v>50</v>
      </c>
      <c r="G116" s="18" t="str">
        <f t="shared" si="27"/>
        <v/>
      </c>
      <c r="H116" s="15" t="str">
        <f t="shared" si="28"/>
        <v>미입력</v>
      </c>
      <c r="I116" s="17">
        <f t="shared" si="29"/>
        <v>65</v>
      </c>
      <c r="J116" s="18" t="str">
        <f t="shared" si="30"/>
        <v/>
      </c>
      <c r="K116" s="15" t="str">
        <f t="shared" si="31"/>
        <v>미입력</v>
      </c>
    </row>
    <row r="117" spans="1:11" ht="18" customHeight="1">
      <c r="A117" s="14">
        <v>46378</v>
      </c>
      <c r="B117" s="15" t="s">
        <v>47</v>
      </c>
      <c r="C117" s="16"/>
      <c r="D117" s="16"/>
      <c r="E117" s="16"/>
      <c r="F117" s="17">
        <f t="shared" si="26"/>
        <v>50</v>
      </c>
      <c r="G117" s="18" t="str">
        <f t="shared" si="27"/>
        <v/>
      </c>
      <c r="H117" s="15" t="str">
        <f t="shared" si="28"/>
        <v>미입력</v>
      </c>
      <c r="I117" s="17">
        <f t="shared" si="29"/>
        <v>65</v>
      </c>
      <c r="J117" s="18" t="str">
        <f t="shared" si="30"/>
        <v/>
      </c>
      <c r="K117" s="15" t="str">
        <f t="shared" si="31"/>
        <v>미입력</v>
      </c>
    </row>
    <row r="118" spans="1:11" ht="18" customHeight="1">
      <c r="A118" s="14">
        <v>46379</v>
      </c>
      <c r="B118" s="15" t="s">
        <v>49</v>
      </c>
      <c r="C118" s="16"/>
      <c r="D118" s="16"/>
      <c r="E118" s="16"/>
      <c r="F118" s="17">
        <f t="shared" si="26"/>
        <v>50</v>
      </c>
      <c r="G118" s="18" t="str">
        <f t="shared" si="27"/>
        <v/>
      </c>
      <c r="H118" s="15" t="str">
        <f t="shared" si="28"/>
        <v>미입력</v>
      </c>
      <c r="I118" s="17">
        <f t="shared" si="29"/>
        <v>65</v>
      </c>
      <c r="J118" s="18" t="str">
        <f t="shared" si="30"/>
        <v/>
      </c>
      <c r="K118" s="15" t="str">
        <f t="shared" si="31"/>
        <v>미입력</v>
      </c>
    </row>
    <row r="119" spans="1:11" ht="18" customHeight="1">
      <c r="A119" s="14">
        <v>46380</v>
      </c>
      <c r="B119" s="15" t="s">
        <v>51</v>
      </c>
      <c r="C119" s="16"/>
      <c r="D119" s="16"/>
      <c r="E119" s="16"/>
      <c r="F119" s="17">
        <f t="shared" si="26"/>
        <v>50</v>
      </c>
      <c r="G119" s="18" t="str">
        <f t="shared" si="27"/>
        <v/>
      </c>
      <c r="H119" s="15" t="str">
        <f t="shared" si="28"/>
        <v>미입력</v>
      </c>
      <c r="I119" s="17">
        <f t="shared" si="29"/>
        <v>65</v>
      </c>
      <c r="J119" s="18" t="str">
        <f t="shared" si="30"/>
        <v/>
      </c>
      <c r="K119" s="15" t="str">
        <f t="shared" si="31"/>
        <v>미입력</v>
      </c>
    </row>
    <row r="120" spans="1:11" ht="18" customHeight="1">
      <c r="A120" s="14">
        <v>46381</v>
      </c>
      <c r="B120" s="15" t="s">
        <v>54</v>
      </c>
      <c r="C120" s="16"/>
      <c r="D120" s="16"/>
      <c r="E120" s="16"/>
      <c r="F120" s="17">
        <f t="shared" si="26"/>
        <v>50</v>
      </c>
      <c r="G120" s="18" t="str">
        <f t="shared" si="27"/>
        <v/>
      </c>
      <c r="H120" s="15" t="str">
        <f t="shared" si="28"/>
        <v>미입력</v>
      </c>
      <c r="I120" s="17">
        <f t="shared" si="29"/>
        <v>65</v>
      </c>
      <c r="J120" s="18" t="str">
        <f t="shared" si="30"/>
        <v/>
      </c>
      <c r="K120" s="15" t="str">
        <f t="shared" si="31"/>
        <v>미입력</v>
      </c>
    </row>
    <row r="121" spans="1:11" ht="18" customHeight="1">
      <c r="A121" s="23">
        <v>46382</v>
      </c>
      <c r="B121" s="24" t="s">
        <v>56</v>
      </c>
      <c r="C121" s="16"/>
      <c r="D121" s="16"/>
      <c r="E121" s="16"/>
      <c r="F121" s="25">
        <f t="shared" si="26"/>
        <v>50</v>
      </c>
      <c r="G121" s="26" t="str">
        <f t="shared" si="27"/>
        <v/>
      </c>
      <c r="H121" s="24" t="str">
        <f t="shared" si="28"/>
        <v>미입력</v>
      </c>
      <c r="I121" s="25">
        <f t="shared" si="29"/>
        <v>65</v>
      </c>
      <c r="J121" s="26" t="str">
        <f t="shared" si="30"/>
        <v/>
      </c>
      <c r="K121" s="24" t="str">
        <f t="shared" si="31"/>
        <v>미입력</v>
      </c>
    </row>
    <row r="122" spans="1:11" ht="18" customHeight="1">
      <c r="A122" s="27">
        <v>46383</v>
      </c>
      <c r="B122" s="28" t="s">
        <v>58</v>
      </c>
      <c r="C122" s="16"/>
      <c r="D122" s="16"/>
      <c r="E122" s="16"/>
      <c r="F122" s="29">
        <f t="shared" si="26"/>
        <v>50</v>
      </c>
      <c r="G122" s="30" t="str">
        <f t="shared" si="27"/>
        <v/>
      </c>
      <c r="H122" s="28" t="str">
        <f t="shared" si="28"/>
        <v>미입력</v>
      </c>
      <c r="I122" s="29">
        <f t="shared" si="29"/>
        <v>65</v>
      </c>
      <c r="J122" s="30" t="str">
        <f t="shared" si="30"/>
        <v/>
      </c>
      <c r="K122" s="28" t="str">
        <f t="shared" si="31"/>
        <v>미입력</v>
      </c>
    </row>
    <row r="123" spans="1:11" ht="18" customHeight="1">
      <c r="A123" s="14">
        <v>46384</v>
      </c>
      <c r="B123" s="15" t="s">
        <v>60</v>
      </c>
      <c r="C123" s="16"/>
      <c r="D123" s="16"/>
      <c r="E123" s="16"/>
      <c r="F123" s="17">
        <f t="shared" si="26"/>
        <v>50</v>
      </c>
      <c r="G123" s="18" t="str">
        <f t="shared" si="27"/>
        <v/>
      </c>
      <c r="H123" s="15" t="str">
        <f t="shared" si="28"/>
        <v>미입력</v>
      </c>
      <c r="I123" s="17">
        <f t="shared" si="29"/>
        <v>65</v>
      </c>
      <c r="J123" s="18" t="str">
        <f t="shared" si="30"/>
        <v/>
      </c>
      <c r="K123" s="15" t="str">
        <f t="shared" si="31"/>
        <v>미입력</v>
      </c>
    </row>
    <row r="124" spans="1:11" ht="18" customHeight="1">
      <c r="A124" s="14">
        <v>46385</v>
      </c>
      <c r="B124" s="15" t="s">
        <v>47</v>
      </c>
      <c r="C124" s="16"/>
      <c r="D124" s="16"/>
      <c r="E124" s="16"/>
      <c r="F124" s="17">
        <f t="shared" si="26"/>
        <v>50</v>
      </c>
      <c r="G124" s="18" t="str">
        <f t="shared" si="27"/>
        <v/>
      </c>
      <c r="H124" s="15" t="str">
        <f t="shared" si="28"/>
        <v>미입력</v>
      </c>
      <c r="I124" s="17">
        <f t="shared" si="29"/>
        <v>65</v>
      </c>
      <c r="J124" s="18" t="str">
        <f t="shared" si="30"/>
        <v/>
      </c>
      <c r="K124" s="15" t="str">
        <f t="shared" si="31"/>
        <v>미입력</v>
      </c>
    </row>
    <row r="125" spans="1:11" ht="18" customHeight="1">
      <c r="A125" s="14">
        <v>46386</v>
      </c>
      <c r="B125" s="15" t="s">
        <v>49</v>
      </c>
      <c r="C125" s="16"/>
      <c r="D125" s="16"/>
      <c r="E125" s="16"/>
      <c r="F125" s="17">
        <f t="shared" si="26"/>
        <v>50</v>
      </c>
      <c r="G125" s="18" t="str">
        <f t="shared" si="27"/>
        <v/>
      </c>
      <c r="H125" s="15" t="str">
        <f t="shared" si="28"/>
        <v>미입력</v>
      </c>
      <c r="I125" s="17">
        <f t="shared" si="29"/>
        <v>65</v>
      </c>
      <c r="J125" s="18" t="str">
        <f t="shared" si="30"/>
        <v/>
      </c>
      <c r="K125" s="15" t="str">
        <f t="shared" si="31"/>
        <v>미입력</v>
      </c>
    </row>
    <row r="126" spans="1:11" ht="18" customHeight="1">
      <c r="A126" s="14">
        <v>46387</v>
      </c>
      <c r="B126" s="15" t="s">
        <v>51</v>
      </c>
      <c r="C126" s="16"/>
      <c r="D126" s="16"/>
      <c r="E126" s="16"/>
      <c r="F126" s="17">
        <f t="shared" si="26"/>
        <v>50</v>
      </c>
      <c r="G126" s="18" t="str">
        <f t="shared" si="27"/>
        <v/>
      </c>
      <c r="H126" s="15" t="str">
        <f t="shared" si="28"/>
        <v>미입력</v>
      </c>
      <c r="I126" s="17">
        <f t="shared" si="29"/>
        <v>65</v>
      </c>
      <c r="J126" s="18" t="str">
        <f t="shared" si="30"/>
        <v/>
      </c>
      <c r="K126" s="15" t="str">
        <f t="shared" si="31"/>
        <v>미입력</v>
      </c>
    </row>
  </sheetData>
  <mergeCells count="5">
    <mergeCell ref="A1:K1"/>
    <mergeCell ref="M1:X1"/>
    <mergeCell ref="H2:K2"/>
    <mergeCell ref="A3:K3"/>
    <mergeCell ref="M3:X3"/>
  </mergeCells>
  <phoneticPr fontId="19" type="noConversion"/>
  <conditionalFormatting sqref="A5:B126">
    <cfRule type="expression" dxfId="67" priority="14">
      <formula>$A5=TODAY()</formula>
    </cfRule>
  </conditionalFormatting>
  <conditionalFormatting sqref="H5:H126">
    <cfRule type="expression" dxfId="66" priority="2">
      <formula>H5="달성"</formula>
    </cfRule>
    <cfRule type="expression" dxfId="65" priority="3">
      <formula>H5="미달"</formula>
    </cfRule>
    <cfRule type="expression" dxfId="64" priority="4">
      <formula>H5="미입력"</formula>
    </cfRule>
  </conditionalFormatting>
  <conditionalFormatting sqref="K5:K126">
    <cfRule type="expression" dxfId="63" priority="5">
      <formula>K5="달성"</formula>
    </cfRule>
    <cfRule type="expression" dxfId="62" priority="6">
      <formula>K5="미달"</formula>
    </cfRule>
    <cfRule type="expression" dxfId="61" priority="7">
      <formula>K5="미입력"</formula>
    </cfRule>
  </conditionalFormatting>
  <conditionalFormatting sqref="S5:S24">
    <cfRule type="expression" dxfId="60" priority="8">
      <formula>S5="달성"</formula>
    </cfRule>
    <cfRule type="expression" dxfId="59" priority="9">
      <formula>S5="미달"</formula>
    </cfRule>
    <cfRule type="expression" dxfId="58" priority="10">
      <formula>S5="미입력"</formula>
    </cfRule>
  </conditionalFormatting>
  <conditionalFormatting sqref="W5:W24">
    <cfRule type="expression" dxfId="57" priority="11">
      <formula>W5="달성"</formula>
    </cfRule>
    <cfRule type="expression" dxfId="56" priority="12">
      <formula>W5="미달"</formula>
    </cfRule>
    <cfRule type="expression" dxfId="55" priority="13">
      <formula>W5="미입력"</formula>
    </cfRule>
  </conditionalFormatting>
  <dataValidations count="1">
    <dataValidation type="list" allowBlank="1" sqref="E5:E126" xr:uid="{00000000-0002-0000-0200-000000000000}">
      <formula1>"휴무,연차,오전반차,오후반차,입사전,기타"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X126"/>
  <sheetViews>
    <sheetView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X10" sqref="X10"/>
    </sheetView>
  </sheetViews>
  <sheetFormatPr defaultColWidth="8.7109375" defaultRowHeight="17.25" customHeight="1"/>
  <cols>
    <col min="1" max="1" width="12" customWidth="1"/>
    <col min="2" max="2" width="6" customWidth="1"/>
    <col min="3" max="6" width="10" customWidth="1"/>
    <col min="7" max="7" width="11" customWidth="1"/>
    <col min="8" max="8" width="13" customWidth="1"/>
    <col min="9" max="9" width="10" customWidth="1"/>
    <col min="10" max="10" width="11" customWidth="1"/>
    <col min="11" max="11" width="13" customWidth="1"/>
    <col min="12" max="12" width="2" customWidth="1"/>
    <col min="13" max="13" width="11" customWidth="1"/>
    <col min="14" max="15" width="9" customWidth="1"/>
    <col min="16" max="16" width="10" customWidth="1"/>
    <col min="17" max="17" width="13" customWidth="1"/>
    <col min="18" max="18" width="11" customWidth="1"/>
    <col min="19" max="19" width="13" customWidth="1"/>
    <col min="20" max="20" width="10" customWidth="1"/>
    <col min="21" max="21" width="13" customWidth="1"/>
    <col min="22" max="22" width="11" customWidth="1"/>
    <col min="23" max="23" width="13" customWidth="1"/>
    <col min="24" max="24" width="60" customWidth="1"/>
  </cols>
  <sheetData>
    <row r="1" spans="1:24" ht="17.25" customHeight="1">
      <c r="A1" s="57" t="s">
        <v>77</v>
      </c>
      <c r="B1" s="57"/>
      <c r="C1" s="57"/>
      <c r="D1" s="57"/>
      <c r="E1" s="57"/>
      <c r="F1" s="57"/>
      <c r="G1" s="57"/>
      <c r="H1" s="57"/>
      <c r="I1" s="57"/>
      <c r="J1" s="57"/>
      <c r="K1" s="57"/>
      <c r="M1" s="58" t="s">
        <v>78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7.25" customHeight="1">
      <c r="A2" s="10" t="s">
        <v>26</v>
      </c>
      <c r="B2" s="11" t="s">
        <v>27</v>
      </c>
      <c r="C2" s="10" t="s">
        <v>28</v>
      </c>
      <c r="D2" s="11">
        <v>50</v>
      </c>
      <c r="E2" s="10" t="s">
        <v>29</v>
      </c>
      <c r="F2" s="11">
        <v>65</v>
      </c>
      <c r="G2" s="12"/>
      <c r="H2" s="59"/>
      <c r="I2" s="59"/>
      <c r="J2" s="59"/>
      <c r="K2" s="59"/>
    </row>
    <row r="3" spans="1:24" ht="17.25" customHeight="1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s="60" t="s">
        <v>31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7.25" customHeight="1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28</v>
      </c>
      <c r="G4" s="10" t="s">
        <v>37</v>
      </c>
      <c r="H4" s="10" t="s">
        <v>38</v>
      </c>
      <c r="I4" s="10" t="s">
        <v>29</v>
      </c>
      <c r="J4" s="10" t="s">
        <v>39</v>
      </c>
      <c r="K4" s="10" t="s">
        <v>40</v>
      </c>
      <c r="M4" s="13" t="s">
        <v>41</v>
      </c>
      <c r="N4" s="13" t="s">
        <v>42</v>
      </c>
      <c r="O4" s="13" t="s">
        <v>43</v>
      </c>
      <c r="P4" s="13" t="s">
        <v>28</v>
      </c>
      <c r="Q4" s="13" t="s">
        <v>44</v>
      </c>
      <c r="R4" s="13" t="s">
        <v>37</v>
      </c>
      <c r="S4" s="13" t="s">
        <v>38</v>
      </c>
      <c r="T4" s="13" t="s">
        <v>29</v>
      </c>
      <c r="U4" s="13" t="s">
        <v>45</v>
      </c>
      <c r="V4" s="13" t="s">
        <v>39</v>
      </c>
      <c r="W4" s="13" t="s">
        <v>40</v>
      </c>
      <c r="X4" s="13" t="s">
        <v>46</v>
      </c>
    </row>
    <row r="5" spans="1:24" ht="17.25" customHeight="1">
      <c r="A5" s="14">
        <v>46266</v>
      </c>
      <c r="B5" s="15" t="s">
        <v>47</v>
      </c>
      <c r="C5" s="16">
        <v>45</v>
      </c>
      <c r="D5" s="16">
        <v>41</v>
      </c>
      <c r="E5" s="16"/>
      <c r="F5" s="17">
        <f t="shared" ref="F5:F36" si="0">IF(OR($E5="오전반차",$E5="오후반차"),$D$2/2,$D$2)</f>
        <v>50</v>
      </c>
      <c r="G5" s="18">
        <f t="shared" ref="G5:G36" si="1">IF($C5="","",$C5/$F5)</f>
        <v>0.9</v>
      </c>
      <c r="H5" s="15" t="str">
        <f t="shared" ref="H5:H36" si="2">IF($C5="",IF($E5="","미입력",$E5),IF($C5&gt;=$F5,"달성","미달"))</f>
        <v>미달</v>
      </c>
      <c r="I5" s="17">
        <f t="shared" ref="I5:I36" si="3">IF(OR($E5="오전반차",$E5="오후반차"),$F$2/2,$F$2)</f>
        <v>65</v>
      </c>
      <c r="J5" s="18">
        <f t="shared" ref="J5:J36" si="4">IF($D5="","",$D5/$I5)</f>
        <v>0.63076923076923075</v>
      </c>
      <c r="K5" s="15" t="str">
        <f t="shared" ref="K5:K36" si="5">IF($D5="",IF($E5="","미입력",$E5),IF($D5&gt;=$I5,"달성","미달"))</f>
        <v>미달</v>
      </c>
      <c r="M5" s="1" t="s">
        <v>48</v>
      </c>
      <c r="N5" s="19">
        <v>46266</v>
      </c>
      <c r="O5" s="19">
        <v>46271</v>
      </c>
      <c r="P5" s="17">
        <f t="shared" ref="P5:P24" si="6">IFERROR(SUMPRODUCT(($A$5:$A$126&gt;=$N5)*($A$5:$A$126&lt;=$O5)*ISNUMBER($C$5:$C$126)*$F$5:$F$126)/SUMPRODUCT(($A$5:$A$126&gt;=$N5)*($A$5:$A$126&lt;=$O5)*ISNUMBER($C$5:$C$126)),"")</f>
        <v>50</v>
      </c>
      <c r="Q5" s="20">
        <f t="shared" ref="Q5:Q24" si="7">IFERROR(AVERAGEIFS($C$5:$C$126,$A$5:$A$126,"&gt;="&amp;$N5,$A$5:$A$126,"&lt;="&amp;$O5),"")</f>
        <v>55.5</v>
      </c>
      <c r="R5" s="18">
        <f t="shared" ref="R5:R24" si="8">IF(OR($Q5="",$P5=""),"",$Q5/$P5)</f>
        <v>1.1100000000000001</v>
      </c>
      <c r="S5" s="15" t="str">
        <f t="shared" ref="S5:S24" si="9">IF(OR($Q5="",$P5=""),"미입력",IF($Q5&gt;=$P5,"달성","미달"))</f>
        <v>달성</v>
      </c>
      <c r="T5" s="17">
        <f t="shared" ref="T5:T24" si="10">IFERROR(SUMPRODUCT(($A$5:$A$126&gt;=$N5)*($A$5:$A$126&lt;=$O5)*ISNUMBER($D$5:$D$126)*$I$5:$I$126)/SUMPRODUCT(($A$5:$A$126&gt;=$N5)*($A$5:$A$126&lt;=$O5)*ISNUMBER($D$5:$D$126)),"")</f>
        <v>65</v>
      </c>
      <c r="U5" s="20">
        <f t="shared" ref="U5:U24" si="11">IFERROR(AVERAGEIFS($D$5:$D$126,$A$5:$A$126,"&gt;="&amp;$N5,$A$5:$A$126,"&lt;="&amp;$O5),"")</f>
        <v>48.5</v>
      </c>
      <c r="V5" s="18">
        <f t="shared" ref="V5:V24" si="12">IF(OR($U5="",$T5=""),"",$U5/$T5)</f>
        <v>0.74615384615384617</v>
      </c>
      <c r="W5" s="15" t="str">
        <f t="shared" ref="W5:W24" si="13">IF(OR($U5="",$T5=""),"미입력",IF($U5&gt;=$T5,"달성","미달"))</f>
        <v>미달</v>
      </c>
      <c r="X5" s="31" t="s">
        <v>79</v>
      </c>
    </row>
    <row r="6" spans="1:24" ht="17.25" customHeight="1">
      <c r="A6" s="14">
        <v>46267</v>
      </c>
      <c r="B6" s="15" t="s">
        <v>49</v>
      </c>
      <c r="C6" s="16">
        <v>47</v>
      </c>
      <c r="D6" s="16">
        <v>46</v>
      </c>
      <c r="E6" s="16"/>
      <c r="F6" s="17">
        <f t="shared" si="0"/>
        <v>50</v>
      </c>
      <c r="G6" s="18">
        <f t="shared" si="1"/>
        <v>0.94</v>
      </c>
      <c r="H6" s="15" t="str">
        <f t="shared" si="2"/>
        <v>미달</v>
      </c>
      <c r="I6" s="17">
        <f t="shared" si="3"/>
        <v>65</v>
      </c>
      <c r="J6" s="18">
        <f t="shared" si="4"/>
        <v>0.70769230769230773</v>
      </c>
      <c r="K6" s="15" t="str">
        <f t="shared" si="5"/>
        <v>미달</v>
      </c>
      <c r="M6" s="1" t="s">
        <v>50</v>
      </c>
      <c r="N6" s="19">
        <v>46272</v>
      </c>
      <c r="O6" s="19">
        <v>46278</v>
      </c>
      <c r="P6" s="17">
        <f t="shared" si="6"/>
        <v>50</v>
      </c>
      <c r="Q6" s="20">
        <f t="shared" si="7"/>
        <v>57.333333333333336</v>
      </c>
      <c r="R6" s="18">
        <f t="shared" si="8"/>
        <v>1.1466666666666667</v>
      </c>
      <c r="S6" s="15" t="str">
        <f t="shared" si="9"/>
        <v>달성</v>
      </c>
      <c r="T6" s="17">
        <f t="shared" si="10"/>
        <v>65</v>
      </c>
      <c r="U6" s="20">
        <f t="shared" si="11"/>
        <v>51.166666666666664</v>
      </c>
      <c r="V6" s="18">
        <f t="shared" si="12"/>
        <v>0.78717948717948716</v>
      </c>
      <c r="W6" s="15" t="str">
        <f t="shared" si="13"/>
        <v>미달</v>
      </c>
      <c r="X6" s="31" t="s">
        <v>80</v>
      </c>
    </row>
    <row r="7" spans="1:24" ht="17.25" customHeight="1">
      <c r="A7" s="14">
        <v>46268</v>
      </c>
      <c r="B7" s="15" t="s">
        <v>51</v>
      </c>
      <c r="C7" s="16">
        <v>50</v>
      </c>
      <c r="D7" s="16">
        <v>45</v>
      </c>
      <c r="E7" s="16"/>
      <c r="F7" s="17">
        <f t="shared" si="0"/>
        <v>50</v>
      </c>
      <c r="G7" s="18">
        <f t="shared" si="1"/>
        <v>1</v>
      </c>
      <c r="H7" s="15" t="str">
        <f t="shared" si="2"/>
        <v>달성</v>
      </c>
      <c r="I7" s="17">
        <f t="shared" si="3"/>
        <v>65</v>
      </c>
      <c r="J7" s="18">
        <f t="shared" si="4"/>
        <v>0.69230769230769229</v>
      </c>
      <c r="K7" s="15" t="str">
        <f t="shared" si="5"/>
        <v>미달</v>
      </c>
      <c r="M7" s="1" t="s">
        <v>53</v>
      </c>
      <c r="N7" s="19">
        <v>46279</v>
      </c>
      <c r="O7" s="19">
        <v>46285</v>
      </c>
      <c r="P7" s="17">
        <f t="shared" si="6"/>
        <v>50</v>
      </c>
      <c r="Q7" s="20">
        <f t="shared" si="7"/>
        <v>48.2</v>
      </c>
      <c r="R7" s="18">
        <f t="shared" si="8"/>
        <v>0.96400000000000008</v>
      </c>
      <c r="S7" s="15" t="str">
        <f t="shared" si="9"/>
        <v>미달</v>
      </c>
      <c r="T7" s="17">
        <f t="shared" si="10"/>
        <v>65</v>
      </c>
      <c r="U7" s="20">
        <f t="shared" si="11"/>
        <v>51.6</v>
      </c>
      <c r="V7" s="18">
        <f t="shared" si="12"/>
        <v>0.79384615384615387</v>
      </c>
      <c r="W7" s="15" t="str">
        <f t="shared" si="13"/>
        <v>미달</v>
      </c>
      <c r="X7" s="31" t="s">
        <v>81</v>
      </c>
    </row>
    <row r="8" spans="1:24" ht="17.25" customHeight="1">
      <c r="A8" s="14">
        <v>46269</v>
      </c>
      <c r="B8" s="15" t="s">
        <v>54</v>
      </c>
      <c r="C8" s="16">
        <v>80</v>
      </c>
      <c r="D8" s="16">
        <v>62</v>
      </c>
      <c r="E8" s="16"/>
      <c r="F8" s="17">
        <f t="shared" si="0"/>
        <v>50</v>
      </c>
      <c r="G8" s="18">
        <f t="shared" si="1"/>
        <v>1.6</v>
      </c>
      <c r="H8" s="15" t="str">
        <f t="shared" si="2"/>
        <v>달성</v>
      </c>
      <c r="I8" s="17">
        <f t="shared" si="3"/>
        <v>65</v>
      </c>
      <c r="J8" s="18">
        <f t="shared" si="4"/>
        <v>0.9538461538461539</v>
      </c>
      <c r="K8" s="15" t="str">
        <f t="shared" si="5"/>
        <v>미달</v>
      </c>
      <c r="M8" s="1" t="s">
        <v>55</v>
      </c>
      <c r="N8" s="19">
        <v>46286</v>
      </c>
      <c r="O8" s="19">
        <v>46292</v>
      </c>
      <c r="P8" s="17">
        <f t="shared" si="6"/>
        <v>50</v>
      </c>
      <c r="Q8" s="20">
        <f t="shared" si="7"/>
        <v>26.5</v>
      </c>
      <c r="R8" s="18">
        <f t="shared" si="8"/>
        <v>0.53</v>
      </c>
      <c r="S8" s="15" t="str">
        <f t="shared" si="9"/>
        <v>미달</v>
      </c>
      <c r="T8" s="17">
        <f t="shared" si="10"/>
        <v>65</v>
      </c>
      <c r="U8" s="20">
        <f t="shared" si="11"/>
        <v>34</v>
      </c>
      <c r="V8" s="18">
        <f t="shared" si="12"/>
        <v>0.52307692307692311</v>
      </c>
      <c r="W8" s="15" t="str">
        <f t="shared" si="13"/>
        <v>미달</v>
      </c>
      <c r="X8" s="21" t="s">
        <v>127</v>
      </c>
    </row>
    <row r="9" spans="1:24" ht="17.25" customHeight="1">
      <c r="A9" s="23">
        <v>46270</v>
      </c>
      <c r="B9" s="24" t="s">
        <v>56</v>
      </c>
      <c r="C9" s="16"/>
      <c r="D9" s="16"/>
      <c r="E9" s="22" t="s">
        <v>52</v>
      </c>
      <c r="F9" s="25">
        <f t="shared" si="0"/>
        <v>50</v>
      </c>
      <c r="G9" s="26" t="str">
        <f t="shared" si="1"/>
        <v/>
      </c>
      <c r="H9" s="24" t="str">
        <f t="shared" si="2"/>
        <v>휴무</v>
      </c>
      <c r="I9" s="25">
        <f t="shared" si="3"/>
        <v>65</v>
      </c>
      <c r="J9" s="26" t="str">
        <f t="shared" si="4"/>
        <v/>
      </c>
      <c r="K9" s="24" t="str">
        <f t="shared" si="5"/>
        <v>휴무</v>
      </c>
      <c r="M9" s="1" t="s">
        <v>140</v>
      </c>
      <c r="N9" s="19">
        <v>46293</v>
      </c>
      <c r="O9" s="19">
        <v>46299</v>
      </c>
      <c r="P9" s="17">
        <f t="shared" si="6"/>
        <v>50</v>
      </c>
      <c r="Q9" s="20">
        <f t="shared" si="7"/>
        <v>56.2</v>
      </c>
      <c r="R9" s="18">
        <f t="shared" si="8"/>
        <v>1.1240000000000001</v>
      </c>
      <c r="S9" s="15" t="str">
        <f t="shared" si="9"/>
        <v>달성</v>
      </c>
      <c r="T9" s="17">
        <f t="shared" si="10"/>
        <v>65</v>
      </c>
      <c r="U9" s="20">
        <f t="shared" si="11"/>
        <v>54.6</v>
      </c>
      <c r="V9" s="18">
        <f t="shared" si="12"/>
        <v>0.84</v>
      </c>
      <c r="W9" s="15" t="str">
        <f t="shared" si="13"/>
        <v>미달</v>
      </c>
      <c r="X9" s="21" t="s">
        <v>143</v>
      </c>
    </row>
    <row r="10" spans="1:24" ht="17.25" customHeight="1">
      <c r="A10" s="27">
        <v>46271</v>
      </c>
      <c r="B10" s="28" t="s">
        <v>58</v>
      </c>
      <c r="C10" s="16"/>
      <c r="D10" s="16"/>
      <c r="E10" s="22" t="s">
        <v>52</v>
      </c>
      <c r="F10" s="29">
        <f t="shared" si="0"/>
        <v>50</v>
      </c>
      <c r="G10" s="30" t="str">
        <f t="shared" si="1"/>
        <v/>
      </c>
      <c r="H10" s="28" t="str">
        <f t="shared" si="2"/>
        <v>휴무</v>
      </c>
      <c r="I10" s="29">
        <f t="shared" si="3"/>
        <v>65</v>
      </c>
      <c r="J10" s="30" t="str">
        <f t="shared" si="4"/>
        <v/>
      </c>
      <c r="K10" s="28" t="str">
        <f t="shared" si="5"/>
        <v>휴무</v>
      </c>
      <c r="M10" s="1" t="s">
        <v>136</v>
      </c>
      <c r="N10" s="19">
        <v>46300</v>
      </c>
      <c r="O10" s="19">
        <v>46306</v>
      </c>
      <c r="P10" s="17" t="str">
        <f t="shared" si="6"/>
        <v/>
      </c>
      <c r="Q10" s="20" t="str">
        <f t="shared" si="7"/>
        <v/>
      </c>
      <c r="R10" s="18" t="str">
        <f t="shared" si="8"/>
        <v/>
      </c>
      <c r="S10" s="15" t="str">
        <f t="shared" si="9"/>
        <v>미입력</v>
      </c>
      <c r="T10" s="17" t="str">
        <f t="shared" si="10"/>
        <v/>
      </c>
      <c r="U10" s="20" t="str">
        <f t="shared" si="11"/>
        <v/>
      </c>
      <c r="V10" s="18" t="str">
        <f t="shared" si="12"/>
        <v/>
      </c>
      <c r="W10" s="15" t="str">
        <f t="shared" si="13"/>
        <v>미입력</v>
      </c>
      <c r="X10" s="21"/>
    </row>
    <row r="11" spans="1:24" ht="17.25" customHeight="1">
      <c r="A11" s="14">
        <v>46272</v>
      </c>
      <c r="B11" s="15" t="s">
        <v>60</v>
      </c>
      <c r="C11" s="16">
        <v>55</v>
      </c>
      <c r="D11" s="16">
        <v>40</v>
      </c>
      <c r="E11" s="16"/>
      <c r="F11" s="17">
        <f t="shared" si="0"/>
        <v>50</v>
      </c>
      <c r="G11" s="18">
        <f t="shared" si="1"/>
        <v>1.1000000000000001</v>
      </c>
      <c r="H11" s="15" t="str">
        <f t="shared" si="2"/>
        <v>달성</v>
      </c>
      <c r="I11" s="17">
        <f t="shared" si="3"/>
        <v>65</v>
      </c>
      <c r="J11" s="18">
        <f t="shared" si="4"/>
        <v>0.61538461538461542</v>
      </c>
      <c r="K11" s="15" t="str">
        <f t="shared" si="5"/>
        <v>미달</v>
      </c>
      <c r="M11" s="1" t="s">
        <v>137</v>
      </c>
      <c r="N11" s="19">
        <v>46302</v>
      </c>
      <c r="O11" s="19">
        <v>46308</v>
      </c>
      <c r="P11" s="17" t="str">
        <f t="shared" si="6"/>
        <v/>
      </c>
      <c r="Q11" s="20" t="str">
        <f t="shared" si="7"/>
        <v/>
      </c>
      <c r="R11" s="18" t="str">
        <f t="shared" si="8"/>
        <v/>
      </c>
      <c r="S11" s="15" t="str">
        <f t="shared" si="9"/>
        <v>미입력</v>
      </c>
      <c r="T11" s="17" t="str">
        <f t="shared" si="10"/>
        <v/>
      </c>
      <c r="U11" s="20" t="str">
        <f t="shared" si="11"/>
        <v/>
      </c>
      <c r="V11" s="18" t="str">
        <f t="shared" si="12"/>
        <v/>
      </c>
      <c r="W11" s="15" t="str">
        <f t="shared" si="13"/>
        <v>미입력</v>
      </c>
      <c r="X11" s="21"/>
    </row>
    <row r="12" spans="1:24" ht="17.25" customHeight="1">
      <c r="A12" s="14">
        <v>46273</v>
      </c>
      <c r="B12" s="15" t="s">
        <v>47</v>
      </c>
      <c r="C12" s="16">
        <v>51</v>
      </c>
      <c r="D12" s="16">
        <v>58</v>
      </c>
      <c r="E12" s="16"/>
      <c r="F12" s="17">
        <f t="shared" si="0"/>
        <v>50</v>
      </c>
      <c r="G12" s="18">
        <f t="shared" si="1"/>
        <v>1.02</v>
      </c>
      <c r="H12" s="15" t="str">
        <f t="shared" si="2"/>
        <v>달성</v>
      </c>
      <c r="I12" s="17">
        <f t="shared" si="3"/>
        <v>65</v>
      </c>
      <c r="J12" s="18">
        <f t="shared" si="4"/>
        <v>0.89230769230769236</v>
      </c>
      <c r="K12" s="15" t="str">
        <f t="shared" si="5"/>
        <v>미달</v>
      </c>
      <c r="M12" s="1" t="s">
        <v>138</v>
      </c>
      <c r="N12" s="19">
        <v>46309</v>
      </c>
      <c r="O12" s="19">
        <v>46315</v>
      </c>
      <c r="P12" s="17" t="str">
        <f t="shared" si="6"/>
        <v/>
      </c>
      <c r="Q12" s="20" t="str">
        <f t="shared" si="7"/>
        <v/>
      </c>
      <c r="R12" s="18" t="str">
        <f t="shared" si="8"/>
        <v/>
      </c>
      <c r="S12" s="15" t="str">
        <f t="shared" si="9"/>
        <v>미입력</v>
      </c>
      <c r="T12" s="17" t="str">
        <f t="shared" si="10"/>
        <v/>
      </c>
      <c r="U12" s="20" t="str">
        <f t="shared" si="11"/>
        <v/>
      </c>
      <c r="V12" s="18" t="str">
        <f t="shared" si="12"/>
        <v/>
      </c>
      <c r="W12" s="15" t="str">
        <f t="shared" si="13"/>
        <v>미입력</v>
      </c>
      <c r="X12" s="21"/>
    </row>
    <row r="13" spans="1:24" ht="17.25" customHeight="1">
      <c r="A13" s="14">
        <v>46274</v>
      </c>
      <c r="B13" s="15" t="s">
        <v>49</v>
      </c>
      <c r="C13" s="16">
        <v>42</v>
      </c>
      <c r="D13" s="16">
        <v>59</v>
      </c>
      <c r="E13" s="16"/>
      <c r="F13" s="17">
        <f t="shared" si="0"/>
        <v>50</v>
      </c>
      <c r="G13" s="18">
        <f t="shared" si="1"/>
        <v>0.84</v>
      </c>
      <c r="H13" s="15" t="str">
        <f t="shared" si="2"/>
        <v>미달</v>
      </c>
      <c r="I13" s="17">
        <f t="shared" si="3"/>
        <v>65</v>
      </c>
      <c r="J13" s="18">
        <f t="shared" si="4"/>
        <v>0.90769230769230769</v>
      </c>
      <c r="K13" s="15" t="str">
        <f t="shared" si="5"/>
        <v>미달</v>
      </c>
      <c r="M13" s="1" t="s">
        <v>139</v>
      </c>
      <c r="N13" s="19">
        <v>46316</v>
      </c>
      <c r="O13" s="19">
        <v>46322</v>
      </c>
      <c r="P13" s="17" t="str">
        <f t="shared" si="6"/>
        <v/>
      </c>
      <c r="Q13" s="20" t="str">
        <f t="shared" si="7"/>
        <v/>
      </c>
      <c r="R13" s="18" t="str">
        <f t="shared" si="8"/>
        <v/>
      </c>
      <c r="S13" s="15" t="str">
        <f t="shared" si="9"/>
        <v>미입력</v>
      </c>
      <c r="T13" s="17" t="str">
        <f t="shared" si="10"/>
        <v/>
      </c>
      <c r="U13" s="20" t="str">
        <f t="shared" si="11"/>
        <v/>
      </c>
      <c r="V13" s="18" t="str">
        <f t="shared" si="12"/>
        <v/>
      </c>
      <c r="W13" s="15" t="str">
        <f t="shared" si="13"/>
        <v>미입력</v>
      </c>
      <c r="X13" s="21"/>
    </row>
    <row r="14" spans="1:24" ht="17.25" customHeight="1">
      <c r="A14" s="14">
        <v>46275</v>
      </c>
      <c r="B14" s="15" t="s">
        <v>51</v>
      </c>
      <c r="C14" s="16">
        <v>58</v>
      </c>
      <c r="D14" s="16">
        <v>62</v>
      </c>
      <c r="E14" s="16"/>
      <c r="F14" s="17">
        <f t="shared" si="0"/>
        <v>50</v>
      </c>
      <c r="G14" s="18">
        <f t="shared" si="1"/>
        <v>1.1599999999999999</v>
      </c>
      <c r="H14" s="15" t="str">
        <f t="shared" si="2"/>
        <v>달성</v>
      </c>
      <c r="I14" s="17">
        <f t="shared" si="3"/>
        <v>65</v>
      </c>
      <c r="J14" s="18">
        <f t="shared" si="4"/>
        <v>0.9538461538461539</v>
      </c>
      <c r="K14" s="15" t="str">
        <f t="shared" si="5"/>
        <v>미달</v>
      </c>
      <c r="M14" s="1"/>
      <c r="N14" s="19">
        <v>46323</v>
      </c>
      <c r="O14" s="19">
        <v>46326</v>
      </c>
      <c r="P14" s="17" t="str">
        <f t="shared" si="6"/>
        <v/>
      </c>
      <c r="Q14" s="20" t="str">
        <f t="shared" si="7"/>
        <v/>
      </c>
      <c r="R14" s="18" t="str">
        <f t="shared" si="8"/>
        <v/>
      </c>
      <c r="S14" s="15" t="str">
        <f t="shared" si="9"/>
        <v>미입력</v>
      </c>
      <c r="T14" s="17" t="str">
        <f t="shared" si="10"/>
        <v/>
      </c>
      <c r="U14" s="20" t="str">
        <f t="shared" si="11"/>
        <v/>
      </c>
      <c r="V14" s="18" t="str">
        <f t="shared" si="12"/>
        <v/>
      </c>
      <c r="W14" s="15" t="str">
        <f t="shared" si="13"/>
        <v>미입력</v>
      </c>
      <c r="X14" s="21"/>
    </row>
    <row r="15" spans="1:24" ht="17.25" customHeight="1">
      <c r="A15" s="14">
        <v>46276</v>
      </c>
      <c r="B15" s="15" t="s">
        <v>54</v>
      </c>
      <c r="C15" s="16">
        <v>69</v>
      </c>
      <c r="D15" s="16">
        <v>56</v>
      </c>
      <c r="E15" s="16"/>
      <c r="F15" s="17">
        <f t="shared" si="0"/>
        <v>50</v>
      </c>
      <c r="G15" s="18">
        <f t="shared" si="1"/>
        <v>1.38</v>
      </c>
      <c r="H15" s="15" t="str">
        <f t="shared" si="2"/>
        <v>달성</v>
      </c>
      <c r="I15" s="17">
        <f t="shared" si="3"/>
        <v>65</v>
      </c>
      <c r="J15" s="18">
        <f t="shared" si="4"/>
        <v>0.86153846153846159</v>
      </c>
      <c r="K15" s="15" t="str">
        <f t="shared" si="5"/>
        <v>미달</v>
      </c>
      <c r="M15" s="1" t="s">
        <v>65</v>
      </c>
      <c r="N15" s="19">
        <v>46327</v>
      </c>
      <c r="O15" s="19">
        <v>46332</v>
      </c>
      <c r="P15" s="17" t="str">
        <f t="shared" si="6"/>
        <v/>
      </c>
      <c r="Q15" s="20" t="str">
        <f t="shared" si="7"/>
        <v/>
      </c>
      <c r="R15" s="18" t="str">
        <f t="shared" si="8"/>
        <v/>
      </c>
      <c r="S15" s="15" t="str">
        <f t="shared" si="9"/>
        <v>미입력</v>
      </c>
      <c r="T15" s="17" t="str">
        <f t="shared" si="10"/>
        <v/>
      </c>
      <c r="U15" s="20" t="str">
        <f t="shared" si="11"/>
        <v/>
      </c>
      <c r="V15" s="18" t="str">
        <f t="shared" si="12"/>
        <v/>
      </c>
      <c r="W15" s="15" t="str">
        <f t="shared" si="13"/>
        <v>미입력</v>
      </c>
      <c r="X15" s="21"/>
    </row>
    <row r="16" spans="1:24" ht="17.25" customHeight="1">
      <c r="A16" s="23">
        <v>46277</v>
      </c>
      <c r="B16" s="24" t="s">
        <v>56</v>
      </c>
      <c r="C16" s="16"/>
      <c r="D16" s="16"/>
      <c r="E16" s="22" t="s">
        <v>52</v>
      </c>
      <c r="F16" s="25">
        <f t="shared" si="0"/>
        <v>50</v>
      </c>
      <c r="G16" s="26" t="str">
        <f t="shared" si="1"/>
        <v/>
      </c>
      <c r="H16" s="24" t="str">
        <f t="shared" si="2"/>
        <v>휴무</v>
      </c>
      <c r="I16" s="25">
        <f t="shared" si="3"/>
        <v>65</v>
      </c>
      <c r="J16" s="26" t="str">
        <f t="shared" si="4"/>
        <v/>
      </c>
      <c r="K16" s="24" t="str">
        <f t="shared" si="5"/>
        <v>휴무</v>
      </c>
      <c r="M16" s="1" t="s">
        <v>66</v>
      </c>
      <c r="N16" s="19">
        <v>46333</v>
      </c>
      <c r="O16" s="19">
        <v>46339</v>
      </c>
      <c r="P16" s="17" t="str">
        <f t="shared" si="6"/>
        <v/>
      </c>
      <c r="Q16" s="20" t="str">
        <f t="shared" si="7"/>
        <v/>
      </c>
      <c r="R16" s="18" t="str">
        <f t="shared" si="8"/>
        <v/>
      </c>
      <c r="S16" s="15" t="str">
        <f t="shared" si="9"/>
        <v>미입력</v>
      </c>
      <c r="T16" s="17" t="str">
        <f t="shared" si="10"/>
        <v/>
      </c>
      <c r="U16" s="20" t="str">
        <f t="shared" si="11"/>
        <v/>
      </c>
      <c r="V16" s="18" t="str">
        <f t="shared" si="12"/>
        <v/>
      </c>
      <c r="W16" s="15" t="str">
        <f t="shared" si="13"/>
        <v>미입력</v>
      </c>
      <c r="X16" s="21"/>
    </row>
    <row r="17" spans="1:24" ht="17.25" customHeight="1">
      <c r="A17" s="27">
        <v>46278</v>
      </c>
      <c r="B17" s="28" t="s">
        <v>58</v>
      </c>
      <c r="C17" s="16">
        <v>69</v>
      </c>
      <c r="D17" s="16">
        <v>32</v>
      </c>
      <c r="E17" s="16"/>
      <c r="F17" s="29">
        <f t="shared" si="0"/>
        <v>50</v>
      </c>
      <c r="G17" s="30">
        <f t="shared" si="1"/>
        <v>1.38</v>
      </c>
      <c r="H17" s="28" t="str">
        <f t="shared" si="2"/>
        <v>달성</v>
      </c>
      <c r="I17" s="29">
        <f t="shared" si="3"/>
        <v>65</v>
      </c>
      <c r="J17" s="30">
        <f t="shared" si="4"/>
        <v>0.49230769230769234</v>
      </c>
      <c r="K17" s="28" t="str">
        <f t="shared" si="5"/>
        <v>미달</v>
      </c>
      <c r="M17" s="1" t="s">
        <v>67</v>
      </c>
      <c r="N17" s="19">
        <v>46340</v>
      </c>
      <c r="O17" s="19">
        <v>46346</v>
      </c>
      <c r="P17" s="17" t="str">
        <f t="shared" si="6"/>
        <v/>
      </c>
      <c r="Q17" s="20" t="str">
        <f t="shared" si="7"/>
        <v/>
      </c>
      <c r="R17" s="18" t="str">
        <f t="shared" si="8"/>
        <v/>
      </c>
      <c r="S17" s="15" t="str">
        <f t="shared" si="9"/>
        <v>미입력</v>
      </c>
      <c r="T17" s="17" t="str">
        <f t="shared" si="10"/>
        <v/>
      </c>
      <c r="U17" s="20" t="str">
        <f t="shared" si="11"/>
        <v/>
      </c>
      <c r="V17" s="18" t="str">
        <f t="shared" si="12"/>
        <v/>
      </c>
      <c r="W17" s="15" t="str">
        <f t="shared" si="13"/>
        <v>미입력</v>
      </c>
      <c r="X17" s="21"/>
    </row>
    <row r="18" spans="1:24" ht="17.25" customHeight="1">
      <c r="A18" s="14">
        <v>46279</v>
      </c>
      <c r="B18" s="15" t="s">
        <v>60</v>
      </c>
      <c r="C18" s="16">
        <v>46</v>
      </c>
      <c r="D18" s="16">
        <v>69</v>
      </c>
      <c r="E18" s="16"/>
      <c r="F18" s="17">
        <f t="shared" si="0"/>
        <v>50</v>
      </c>
      <c r="G18" s="18">
        <f t="shared" si="1"/>
        <v>0.92</v>
      </c>
      <c r="H18" s="15" t="str">
        <f t="shared" si="2"/>
        <v>미달</v>
      </c>
      <c r="I18" s="17">
        <f t="shared" si="3"/>
        <v>65</v>
      </c>
      <c r="J18" s="18">
        <f t="shared" si="4"/>
        <v>1.0615384615384615</v>
      </c>
      <c r="K18" s="15" t="str">
        <f t="shared" si="5"/>
        <v>달성</v>
      </c>
      <c r="M18" s="1" t="s">
        <v>68</v>
      </c>
      <c r="N18" s="19">
        <v>46347</v>
      </c>
      <c r="O18" s="19">
        <v>46353</v>
      </c>
      <c r="P18" s="17" t="str">
        <f t="shared" si="6"/>
        <v/>
      </c>
      <c r="Q18" s="20" t="str">
        <f t="shared" si="7"/>
        <v/>
      </c>
      <c r="R18" s="18" t="str">
        <f t="shared" si="8"/>
        <v/>
      </c>
      <c r="S18" s="15" t="str">
        <f t="shared" si="9"/>
        <v>미입력</v>
      </c>
      <c r="T18" s="17" t="str">
        <f t="shared" si="10"/>
        <v/>
      </c>
      <c r="U18" s="20" t="str">
        <f t="shared" si="11"/>
        <v/>
      </c>
      <c r="V18" s="18" t="str">
        <f t="shared" si="12"/>
        <v/>
      </c>
      <c r="W18" s="15" t="str">
        <f t="shared" si="13"/>
        <v>미입력</v>
      </c>
      <c r="X18" s="21"/>
    </row>
    <row r="19" spans="1:24" ht="17.25" customHeight="1">
      <c r="A19" s="14">
        <v>46280</v>
      </c>
      <c r="B19" s="15" t="s">
        <v>47</v>
      </c>
      <c r="C19" s="16">
        <v>44</v>
      </c>
      <c r="D19" s="16">
        <v>50</v>
      </c>
      <c r="E19" s="16"/>
      <c r="F19" s="17">
        <f t="shared" si="0"/>
        <v>50</v>
      </c>
      <c r="G19" s="18">
        <f t="shared" si="1"/>
        <v>0.88</v>
      </c>
      <c r="H19" s="15" t="str">
        <f t="shared" si="2"/>
        <v>미달</v>
      </c>
      <c r="I19" s="17">
        <f t="shared" si="3"/>
        <v>65</v>
      </c>
      <c r="J19" s="18">
        <f t="shared" si="4"/>
        <v>0.76923076923076927</v>
      </c>
      <c r="K19" s="15" t="str">
        <f t="shared" si="5"/>
        <v>미달</v>
      </c>
      <c r="M19" s="1" t="s">
        <v>69</v>
      </c>
      <c r="N19" s="19">
        <v>46354</v>
      </c>
      <c r="O19" s="19">
        <v>46356</v>
      </c>
      <c r="P19" s="17" t="str">
        <f t="shared" si="6"/>
        <v/>
      </c>
      <c r="Q19" s="20" t="str">
        <f t="shared" si="7"/>
        <v/>
      </c>
      <c r="R19" s="18" t="str">
        <f t="shared" si="8"/>
        <v/>
      </c>
      <c r="S19" s="15" t="str">
        <f t="shared" si="9"/>
        <v>미입력</v>
      </c>
      <c r="T19" s="17" t="str">
        <f t="shared" si="10"/>
        <v/>
      </c>
      <c r="U19" s="20" t="str">
        <f t="shared" si="11"/>
        <v/>
      </c>
      <c r="V19" s="18" t="str">
        <f t="shared" si="12"/>
        <v/>
      </c>
      <c r="W19" s="15" t="str">
        <f t="shared" si="13"/>
        <v>미입력</v>
      </c>
      <c r="X19" s="21"/>
    </row>
    <row r="20" spans="1:24" ht="17.25" customHeight="1">
      <c r="A20" s="14">
        <v>46281</v>
      </c>
      <c r="B20" s="15" t="s">
        <v>49</v>
      </c>
      <c r="C20" s="16">
        <v>36</v>
      </c>
      <c r="D20" s="16">
        <v>56</v>
      </c>
      <c r="E20" s="16"/>
      <c r="F20" s="17">
        <f t="shared" si="0"/>
        <v>50</v>
      </c>
      <c r="G20" s="18">
        <f t="shared" si="1"/>
        <v>0.72</v>
      </c>
      <c r="H20" s="15" t="str">
        <f t="shared" si="2"/>
        <v>미달</v>
      </c>
      <c r="I20" s="17">
        <f t="shared" si="3"/>
        <v>65</v>
      </c>
      <c r="J20" s="18">
        <f t="shared" si="4"/>
        <v>0.86153846153846159</v>
      </c>
      <c r="K20" s="15" t="str">
        <f t="shared" si="5"/>
        <v>미달</v>
      </c>
      <c r="M20" s="1" t="s">
        <v>70</v>
      </c>
      <c r="N20" s="19">
        <v>46357</v>
      </c>
      <c r="O20" s="19">
        <v>46362</v>
      </c>
      <c r="P20" s="17" t="str">
        <f t="shared" si="6"/>
        <v/>
      </c>
      <c r="Q20" s="20" t="str">
        <f t="shared" si="7"/>
        <v/>
      </c>
      <c r="R20" s="18" t="str">
        <f t="shared" si="8"/>
        <v/>
      </c>
      <c r="S20" s="15" t="str">
        <f t="shared" si="9"/>
        <v>미입력</v>
      </c>
      <c r="T20" s="17" t="str">
        <f t="shared" si="10"/>
        <v/>
      </c>
      <c r="U20" s="20" t="str">
        <f t="shared" si="11"/>
        <v/>
      </c>
      <c r="V20" s="18" t="str">
        <f t="shared" si="12"/>
        <v/>
      </c>
      <c r="W20" s="15" t="str">
        <f t="shared" si="13"/>
        <v>미입력</v>
      </c>
      <c r="X20" s="21"/>
    </row>
    <row r="21" spans="1:24" ht="17.25" customHeight="1">
      <c r="A21" s="14">
        <v>46282</v>
      </c>
      <c r="B21" s="15" t="s">
        <v>51</v>
      </c>
      <c r="C21" s="16"/>
      <c r="D21" s="16"/>
      <c r="E21" s="22" t="s">
        <v>52</v>
      </c>
      <c r="F21" s="17">
        <f t="shared" si="0"/>
        <v>50</v>
      </c>
      <c r="G21" s="18" t="str">
        <f t="shared" si="1"/>
        <v/>
      </c>
      <c r="H21" s="15" t="str">
        <f t="shared" si="2"/>
        <v>휴무</v>
      </c>
      <c r="I21" s="17">
        <f t="shared" si="3"/>
        <v>65</v>
      </c>
      <c r="J21" s="18" t="str">
        <f t="shared" si="4"/>
        <v/>
      </c>
      <c r="K21" s="15" t="str">
        <f t="shared" si="5"/>
        <v>휴무</v>
      </c>
      <c r="M21" s="1" t="s">
        <v>71</v>
      </c>
      <c r="N21" s="19">
        <v>46363</v>
      </c>
      <c r="O21" s="19">
        <v>46369</v>
      </c>
      <c r="P21" s="17" t="str">
        <f t="shared" si="6"/>
        <v/>
      </c>
      <c r="Q21" s="20" t="str">
        <f t="shared" si="7"/>
        <v/>
      </c>
      <c r="R21" s="18" t="str">
        <f t="shared" si="8"/>
        <v/>
      </c>
      <c r="S21" s="15" t="str">
        <f t="shared" si="9"/>
        <v>미입력</v>
      </c>
      <c r="T21" s="17" t="str">
        <f t="shared" si="10"/>
        <v/>
      </c>
      <c r="U21" s="20" t="str">
        <f t="shared" si="11"/>
        <v/>
      </c>
      <c r="V21" s="18" t="str">
        <f t="shared" si="12"/>
        <v/>
      </c>
      <c r="W21" s="15" t="str">
        <f t="shared" si="13"/>
        <v>미입력</v>
      </c>
      <c r="X21" s="21"/>
    </row>
    <row r="22" spans="1:24" ht="17.25" customHeight="1">
      <c r="A22" s="14">
        <v>46283</v>
      </c>
      <c r="B22" s="15" t="s">
        <v>54</v>
      </c>
      <c r="C22" s="16">
        <v>70</v>
      </c>
      <c r="D22" s="16">
        <v>49</v>
      </c>
      <c r="E22" s="16"/>
      <c r="F22" s="17">
        <f t="shared" si="0"/>
        <v>50</v>
      </c>
      <c r="G22" s="18">
        <f t="shared" si="1"/>
        <v>1.4</v>
      </c>
      <c r="H22" s="15" t="str">
        <f t="shared" si="2"/>
        <v>달성</v>
      </c>
      <c r="I22" s="17">
        <f t="shared" si="3"/>
        <v>65</v>
      </c>
      <c r="J22" s="18">
        <f t="shared" si="4"/>
        <v>0.75384615384615383</v>
      </c>
      <c r="K22" s="15" t="str">
        <f t="shared" si="5"/>
        <v>미달</v>
      </c>
      <c r="M22" s="1" t="s">
        <v>72</v>
      </c>
      <c r="N22" s="19">
        <v>46370</v>
      </c>
      <c r="O22" s="19">
        <v>46376</v>
      </c>
      <c r="P22" s="17" t="str">
        <f t="shared" si="6"/>
        <v/>
      </c>
      <c r="Q22" s="20" t="str">
        <f t="shared" si="7"/>
        <v/>
      </c>
      <c r="R22" s="18" t="str">
        <f t="shared" si="8"/>
        <v/>
      </c>
      <c r="S22" s="15" t="str">
        <f t="shared" si="9"/>
        <v>미입력</v>
      </c>
      <c r="T22" s="17" t="str">
        <f t="shared" si="10"/>
        <v/>
      </c>
      <c r="U22" s="20" t="str">
        <f t="shared" si="11"/>
        <v/>
      </c>
      <c r="V22" s="18" t="str">
        <f t="shared" si="12"/>
        <v/>
      </c>
      <c r="W22" s="15" t="str">
        <f t="shared" si="13"/>
        <v>미입력</v>
      </c>
      <c r="X22" s="21"/>
    </row>
    <row r="23" spans="1:24" ht="17.25" customHeight="1">
      <c r="A23" s="23">
        <v>46284</v>
      </c>
      <c r="B23" s="24" t="s">
        <v>56</v>
      </c>
      <c r="C23" s="16">
        <v>45</v>
      </c>
      <c r="D23" s="16">
        <v>34</v>
      </c>
      <c r="E23" s="16"/>
      <c r="F23" s="25">
        <f t="shared" si="0"/>
        <v>50</v>
      </c>
      <c r="G23" s="26">
        <f t="shared" si="1"/>
        <v>0.9</v>
      </c>
      <c r="H23" s="24" t="str">
        <f t="shared" si="2"/>
        <v>미달</v>
      </c>
      <c r="I23" s="25">
        <f t="shared" si="3"/>
        <v>65</v>
      </c>
      <c r="J23" s="26">
        <f t="shared" si="4"/>
        <v>0.52307692307692311</v>
      </c>
      <c r="K23" s="24" t="str">
        <f t="shared" si="5"/>
        <v>미달</v>
      </c>
      <c r="M23" s="1" t="s">
        <v>73</v>
      </c>
      <c r="N23" s="19">
        <v>46377</v>
      </c>
      <c r="O23" s="19">
        <v>46383</v>
      </c>
      <c r="P23" s="17" t="str">
        <f t="shared" si="6"/>
        <v/>
      </c>
      <c r="Q23" s="20" t="str">
        <f t="shared" si="7"/>
        <v/>
      </c>
      <c r="R23" s="18" t="str">
        <f t="shared" si="8"/>
        <v/>
      </c>
      <c r="S23" s="15" t="str">
        <f t="shared" si="9"/>
        <v>미입력</v>
      </c>
      <c r="T23" s="17" t="str">
        <f t="shared" si="10"/>
        <v/>
      </c>
      <c r="U23" s="20" t="str">
        <f t="shared" si="11"/>
        <v/>
      </c>
      <c r="V23" s="18" t="str">
        <f t="shared" si="12"/>
        <v/>
      </c>
      <c r="W23" s="15" t="str">
        <f t="shared" si="13"/>
        <v>미입력</v>
      </c>
      <c r="X23" s="21"/>
    </row>
    <row r="24" spans="1:24" ht="17.25" customHeight="1">
      <c r="A24" s="27">
        <v>46285</v>
      </c>
      <c r="B24" s="28" t="s">
        <v>58</v>
      </c>
      <c r="C24" s="16"/>
      <c r="D24" s="16"/>
      <c r="E24" s="22" t="s">
        <v>52</v>
      </c>
      <c r="F24" s="29">
        <f t="shared" si="0"/>
        <v>50</v>
      </c>
      <c r="G24" s="30" t="str">
        <f t="shared" si="1"/>
        <v/>
      </c>
      <c r="H24" s="28" t="str">
        <f t="shared" si="2"/>
        <v>휴무</v>
      </c>
      <c r="I24" s="29">
        <f t="shared" si="3"/>
        <v>65</v>
      </c>
      <c r="J24" s="30" t="str">
        <f t="shared" si="4"/>
        <v/>
      </c>
      <c r="K24" s="28" t="str">
        <f t="shared" si="5"/>
        <v>휴무</v>
      </c>
      <c r="M24" s="1" t="s">
        <v>74</v>
      </c>
      <c r="N24" s="19">
        <v>46384</v>
      </c>
      <c r="O24" s="19">
        <v>46387</v>
      </c>
      <c r="P24" s="17" t="str">
        <f t="shared" si="6"/>
        <v/>
      </c>
      <c r="Q24" s="20" t="str">
        <f t="shared" si="7"/>
        <v/>
      </c>
      <c r="R24" s="18" t="str">
        <f t="shared" si="8"/>
        <v/>
      </c>
      <c r="S24" s="15" t="str">
        <f t="shared" si="9"/>
        <v>미입력</v>
      </c>
      <c r="T24" s="17" t="str">
        <f t="shared" si="10"/>
        <v/>
      </c>
      <c r="U24" s="20" t="str">
        <f t="shared" si="11"/>
        <v/>
      </c>
      <c r="V24" s="18" t="str">
        <f t="shared" si="12"/>
        <v/>
      </c>
      <c r="W24" s="15" t="str">
        <f t="shared" si="13"/>
        <v>미입력</v>
      </c>
      <c r="X24" s="21"/>
    </row>
    <row r="25" spans="1:24" ht="17.25" customHeight="1">
      <c r="A25" s="14">
        <v>46286</v>
      </c>
      <c r="B25" s="15" t="s">
        <v>60</v>
      </c>
      <c r="C25" s="16"/>
      <c r="D25" s="16"/>
      <c r="E25" s="22" t="s">
        <v>52</v>
      </c>
      <c r="F25" s="17">
        <f t="shared" si="0"/>
        <v>50</v>
      </c>
      <c r="G25" s="18" t="str">
        <f t="shared" si="1"/>
        <v/>
      </c>
      <c r="H25" s="15" t="str">
        <f t="shared" si="2"/>
        <v>휴무</v>
      </c>
      <c r="I25" s="17">
        <f t="shared" si="3"/>
        <v>65</v>
      </c>
      <c r="J25" s="18" t="str">
        <f t="shared" si="4"/>
        <v/>
      </c>
      <c r="K25" s="15" t="str">
        <f t="shared" si="5"/>
        <v>휴무</v>
      </c>
    </row>
    <row r="26" spans="1:24" ht="17.25" customHeight="1">
      <c r="A26" s="14">
        <v>46287</v>
      </c>
      <c r="B26" s="15" t="s">
        <v>47</v>
      </c>
      <c r="C26" s="16">
        <v>30</v>
      </c>
      <c r="D26" s="16">
        <v>42</v>
      </c>
      <c r="E26" s="16"/>
      <c r="F26" s="17">
        <f t="shared" si="0"/>
        <v>50</v>
      </c>
      <c r="G26" s="18">
        <f t="shared" si="1"/>
        <v>0.6</v>
      </c>
      <c r="H26" s="15" t="str">
        <f t="shared" si="2"/>
        <v>미달</v>
      </c>
      <c r="I26" s="17">
        <f t="shared" si="3"/>
        <v>65</v>
      </c>
      <c r="J26" s="18">
        <f t="shared" si="4"/>
        <v>0.64615384615384619</v>
      </c>
      <c r="K26" s="15" t="str">
        <f t="shared" si="5"/>
        <v>미달</v>
      </c>
    </row>
    <row r="27" spans="1:24" ht="17.25" customHeight="1">
      <c r="A27" s="14">
        <v>46288</v>
      </c>
      <c r="B27" s="15" t="s">
        <v>49</v>
      </c>
      <c r="C27" s="16">
        <v>21</v>
      </c>
      <c r="D27" s="16">
        <v>35</v>
      </c>
      <c r="E27" s="16"/>
      <c r="F27" s="17">
        <f t="shared" si="0"/>
        <v>50</v>
      </c>
      <c r="G27" s="18">
        <f t="shared" si="1"/>
        <v>0.42</v>
      </c>
      <c r="H27" s="15" t="str">
        <f t="shared" si="2"/>
        <v>미달</v>
      </c>
      <c r="I27" s="17">
        <f t="shared" si="3"/>
        <v>65</v>
      </c>
      <c r="J27" s="18">
        <f t="shared" si="4"/>
        <v>0.53846153846153844</v>
      </c>
      <c r="K27" s="15" t="str">
        <f t="shared" si="5"/>
        <v>미달</v>
      </c>
    </row>
    <row r="28" spans="1:24" ht="17.25" customHeight="1">
      <c r="A28" s="14">
        <v>46289</v>
      </c>
      <c r="B28" s="15" t="s">
        <v>51</v>
      </c>
      <c r="C28" s="16">
        <v>23</v>
      </c>
      <c r="D28" s="16">
        <v>24</v>
      </c>
      <c r="E28" s="16"/>
      <c r="F28" s="17">
        <f t="shared" si="0"/>
        <v>50</v>
      </c>
      <c r="G28" s="18">
        <f t="shared" si="1"/>
        <v>0.46</v>
      </c>
      <c r="H28" s="15" t="str">
        <f t="shared" si="2"/>
        <v>미달</v>
      </c>
      <c r="I28" s="17">
        <f t="shared" si="3"/>
        <v>65</v>
      </c>
      <c r="J28" s="18">
        <f t="shared" si="4"/>
        <v>0.36923076923076925</v>
      </c>
      <c r="K28" s="15" t="str">
        <f t="shared" si="5"/>
        <v>미달</v>
      </c>
    </row>
    <row r="29" spans="1:24" ht="17.25" customHeight="1">
      <c r="A29" s="14">
        <v>46290</v>
      </c>
      <c r="B29" s="15" t="s">
        <v>54</v>
      </c>
      <c r="C29" s="16"/>
      <c r="D29" s="16"/>
      <c r="E29" s="22" t="s">
        <v>52</v>
      </c>
      <c r="F29" s="17">
        <f t="shared" si="0"/>
        <v>50</v>
      </c>
      <c r="G29" s="18" t="str">
        <f t="shared" si="1"/>
        <v/>
      </c>
      <c r="H29" s="15" t="str">
        <f t="shared" si="2"/>
        <v>휴무</v>
      </c>
      <c r="I29" s="17">
        <f t="shared" si="3"/>
        <v>65</v>
      </c>
      <c r="J29" s="18" t="str">
        <f t="shared" si="4"/>
        <v/>
      </c>
      <c r="K29" s="15" t="str">
        <f t="shared" si="5"/>
        <v>휴무</v>
      </c>
    </row>
    <row r="30" spans="1:24" ht="17.25" customHeight="1">
      <c r="A30" s="23">
        <v>46291</v>
      </c>
      <c r="B30" s="24" t="s">
        <v>56</v>
      </c>
      <c r="C30" s="16"/>
      <c r="D30" s="16"/>
      <c r="E30" s="22" t="s">
        <v>52</v>
      </c>
      <c r="F30" s="25">
        <f t="shared" si="0"/>
        <v>50</v>
      </c>
      <c r="G30" s="26" t="str">
        <f t="shared" si="1"/>
        <v/>
      </c>
      <c r="H30" s="24" t="str">
        <f t="shared" si="2"/>
        <v>휴무</v>
      </c>
      <c r="I30" s="25">
        <f t="shared" si="3"/>
        <v>65</v>
      </c>
      <c r="J30" s="26" t="str">
        <f t="shared" si="4"/>
        <v/>
      </c>
      <c r="K30" s="24" t="str">
        <f t="shared" si="5"/>
        <v>휴무</v>
      </c>
    </row>
    <row r="31" spans="1:24" ht="17.25" customHeight="1">
      <c r="A31" s="27">
        <v>46292</v>
      </c>
      <c r="B31" s="28" t="s">
        <v>58</v>
      </c>
      <c r="C31" s="16">
        <v>32</v>
      </c>
      <c r="D31" s="16">
        <v>35</v>
      </c>
      <c r="E31" s="16"/>
      <c r="F31" s="29">
        <f t="shared" si="0"/>
        <v>50</v>
      </c>
      <c r="G31" s="30">
        <f t="shared" si="1"/>
        <v>0.64</v>
      </c>
      <c r="H31" s="28" t="str">
        <f t="shared" si="2"/>
        <v>미달</v>
      </c>
      <c r="I31" s="29">
        <f t="shared" si="3"/>
        <v>65</v>
      </c>
      <c r="J31" s="30">
        <f t="shared" si="4"/>
        <v>0.53846153846153844</v>
      </c>
      <c r="K31" s="28" t="str">
        <f t="shared" si="5"/>
        <v>미달</v>
      </c>
    </row>
    <row r="32" spans="1:24" ht="17.25" customHeight="1">
      <c r="A32" s="14">
        <v>46293</v>
      </c>
      <c r="B32" s="15" t="s">
        <v>60</v>
      </c>
      <c r="C32" s="16">
        <v>58</v>
      </c>
      <c r="D32" s="16">
        <v>38</v>
      </c>
      <c r="E32" s="16"/>
      <c r="F32" s="17">
        <f t="shared" si="0"/>
        <v>50</v>
      </c>
      <c r="G32" s="18">
        <f t="shared" si="1"/>
        <v>1.1599999999999999</v>
      </c>
      <c r="H32" s="15" t="str">
        <f t="shared" si="2"/>
        <v>달성</v>
      </c>
      <c r="I32" s="17">
        <f t="shared" si="3"/>
        <v>65</v>
      </c>
      <c r="J32" s="18">
        <f t="shared" si="4"/>
        <v>0.58461538461538465</v>
      </c>
      <c r="K32" s="15" t="str">
        <f t="shared" si="5"/>
        <v>미달</v>
      </c>
    </row>
    <row r="33" spans="1:11" ht="17.25" customHeight="1">
      <c r="A33" s="14">
        <v>46294</v>
      </c>
      <c r="B33" s="15" t="s">
        <v>47</v>
      </c>
      <c r="C33" s="16">
        <v>41</v>
      </c>
      <c r="D33" s="16">
        <v>64</v>
      </c>
      <c r="E33" s="16"/>
      <c r="F33" s="17">
        <f t="shared" si="0"/>
        <v>50</v>
      </c>
      <c r="G33" s="18">
        <f t="shared" si="1"/>
        <v>0.82</v>
      </c>
      <c r="H33" s="15" t="str">
        <f t="shared" si="2"/>
        <v>미달</v>
      </c>
      <c r="I33" s="17">
        <f t="shared" si="3"/>
        <v>65</v>
      </c>
      <c r="J33" s="18">
        <f t="shared" si="4"/>
        <v>0.98461538461538467</v>
      </c>
      <c r="K33" s="15" t="str">
        <f t="shared" si="5"/>
        <v>미달</v>
      </c>
    </row>
    <row r="34" spans="1:11" ht="17.25" customHeight="1">
      <c r="A34" s="14">
        <v>46295</v>
      </c>
      <c r="B34" s="15" t="s">
        <v>49</v>
      </c>
      <c r="C34" s="16">
        <v>44</v>
      </c>
      <c r="D34" s="16">
        <v>59</v>
      </c>
      <c r="E34" s="16"/>
      <c r="F34" s="17">
        <f t="shared" si="0"/>
        <v>50</v>
      </c>
      <c r="G34" s="18">
        <f t="shared" si="1"/>
        <v>0.88</v>
      </c>
      <c r="H34" s="15" t="str">
        <f t="shared" si="2"/>
        <v>미달</v>
      </c>
      <c r="I34" s="17">
        <f t="shared" si="3"/>
        <v>65</v>
      </c>
      <c r="J34" s="18">
        <f t="shared" si="4"/>
        <v>0.90769230769230769</v>
      </c>
      <c r="K34" s="15" t="str">
        <f t="shared" si="5"/>
        <v>미달</v>
      </c>
    </row>
    <row r="35" spans="1:11" ht="17.25" customHeight="1">
      <c r="A35" s="14">
        <v>46296</v>
      </c>
      <c r="B35" s="15" t="s">
        <v>51</v>
      </c>
      <c r="C35" s="16"/>
      <c r="D35" s="16"/>
      <c r="E35" s="22" t="s">
        <v>52</v>
      </c>
      <c r="F35" s="17">
        <f t="shared" si="0"/>
        <v>50</v>
      </c>
      <c r="G35" s="18" t="str">
        <f t="shared" si="1"/>
        <v/>
      </c>
      <c r="H35" s="15" t="str">
        <f t="shared" si="2"/>
        <v>휴무</v>
      </c>
      <c r="I35" s="17">
        <f t="shared" si="3"/>
        <v>65</v>
      </c>
      <c r="J35" s="18" t="str">
        <f t="shared" si="4"/>
        <v/>
      </c>
      <c r="K35" s="15" t="str">
        <f t="shared" si="5"/>
        <v>휴무</v>
      </c>
    </row>
    <row r="36" spans="1:11" ht="17.25" customHeight="1">
      <c r="A36" s="14">
        <v>46297</v>
      </c>
      <c r="B36" s="15" t="s">
        <v>54</v>
      </c>
      <c r="C36" s="16">
        <v>80</v>
      </c>
      <c r="D36" s="16">
        <v>61</v>
      </c>
      <c r="E36" s="16"/>
      <c r="F36" s="17">
        <f t="shared" si="0"/>
        <v>50</v>
      </c>
      <c r="G36" s="18">
        <f t="shared" si="1"/>
        <v>1.6</v>
      </c>
      <c r="H36" s="15" t="str">
        <f t="shared" si="2"/>
        <v>달성</v>
      </c>
      <c r="I36" s="17">
        <f t="shared" si="3"/>
        <v>65</v>
      </c>
      <c r="J36" s="18">
        <f t="shared" si="4"/>
        <v>0.93846153846153846</v>
      </c>
      <c r="K36" s="15" t="str">
        <f t="shared" si="5"/>
        <v>미달</v>
      </c>
    </row>
    <row r="37" spans="1:11" ht="17.25" customHeight="1">
      <c r="A37" s="23">
        <v>46298</v>
      </c>
      <c r="B37" s="24" t="s">
        <v>56</v>
      </c>
      <c r="C37" s="16">
        <v>58</v>
      </c>
      <c r="D37" s="16">
        <v>51</v>
      </c>
      <c r="E37" s="16"/>
      <c r="F37" s="25">
        <f t="shared" ref="F37:F68" si="14">IF(OR($E37="오전반차",$E37="오후반차"),$D$2/2,$D$2)</f>
        <v>50</v>
      </c>
      <c r="G37" s="26">
        <f t="shared" ref="G37:G68" si="15">IF($C37="","",$C37/$F37)</f>
        <v>1.1599999999999999</v>
      </c>
      <c r="H37" s="24" t="str">
        <f t="shared" ref="H37:H68" si="16">IF($C37="",IF($E37="","미입력",$E37),IF($C37&gt;=$F37,"달성","미달"))</f>
        <v>달성</v>
      </c>
      <c r="I37" s="25">
        <f t="shared" ref="I37:I68" si="17">IF(OR($E37="오전반차",$E37="오후반차"),$F$2/2,$F$2)</f>
        <v>65</v>
      </c>
      <c r="J37" s="26">
        <f t="shared" ref="J37:J68" si="18">IF($D37="","",$D37/$I37)</f>
        <v>0.7846153846153846</v>
      </c>
      <c r="K37" s="24" t="str">
        <f t="shared" ref="K37:K68" si="19">IF($D37="",IF($E37="","미입력",$E37),IF($D37&gt;=$I37,"달성","미달"))</f>
        <v>미달</v>
      </c>
    </row>
    <row r="38" spans="1:11" ht="17.25" customHeight="1">
      <c r="A38" s="27">
        <v>46299</v>
      </c>
      <c r="B38" s="28" t="s">
        <v>58</v>
      </c>
      <c r="C38" s="16"/>
      <c r="D38" s="16"/>
      <c r="E38" s="22" t="s">
        <v>52</v>
      </c>
      <c r="F38" s="29">
        <f t="shared" si="14"/>
        <v>50</v>
      </c>
      <c r="G38" s="30" t="str">
        <f t="shared" si="15"/>
        <v/>
      </c>
      <c r="H38" s="28" t="str">
        <f t="shared" si="16"/>
        <v>휴무</v>
      </c>
      <c r="I38" s="29">
        <f t="shared" si="17"/>
        <v>65</v>
      </c>
      <c r="J38" s="30" t="str">
        <f t="shared" si="18"/>
        <v/>
      </c>
      <c r="K38" s="28" t="str">
        <f t="shared" si="19"/>
        <v>휴무</v>
      </c>
    </row>
    <row r="39" spans="1:11" ht="17.25" customHeight="1">
      <c r="A39" s="14">
        <v>46300</v>
      </c>
      <c r="B39" s="15" t="s">
        <v>60</v>
      </c>
      <c r="C39" s="16"/>
      <c r="D39" s="16"/>
      <c r="E39" s="16"/>
      <c r="F39" s="17">
        <f t="shared" si="14"/>
        <v>50</v>
      </c>
      <c r="G39" s="18" t="str">
        <f t="shared" si="15"/>
        <v/>
      </c>
      <c r="H39" s="15" t="str">
        <f t="shared" si="16"/>
        <v>미입력</v>
      </c>
      <c r="I39" s="17">
        <f t="shared" si="17"/>
        <v>65</v>
      </c>
      <c r="J39" s="18" t="str">
        <f t="shared" si="18"/>
        <v/>
      </c>
      <c r="K39" s="15" t="str">
        <f t="shared" si="19"/>
        <v>미입력</v>
      </c>
    </row>
    <row r="40" spans="1:11" ht="17.25" customHeight="1">
      <c r="A40" s="14">
        <v>46301</v>
      </c>
      <c r="B40" s="15" t="s">
        <v>47</v>
      </c>
      <c r="C40" s="16"/>
      <c r="D40" s="16"/>
      <c r="E40" s="16"/>
      <c r="F40" s="17">
        <f t="shared" si="14"/>
        <v>50</v>
      </c>
      <c r="G40" s="18" t="str">
        <f t="shared" si="15"/>
        <v/>
      </c>
      <c r="H40" s="15" t="str">
        <f t="shared" si="16"/>
        <v>미입력</v>
      </c>
      <c r="I40" s="17">
        <f t="shared" si="17"/>
        <v>65</v>
      </c>
      <c r="J40" s="18" t="str">
        <f t="shared" si="18"/>
        <v/>
      </c>
      <c r="K40" s="15" t="str">
        <f t="shared" si="19"/>
        <v>미입력</v>
      </c>
    </row>
    <row r="41" spans="1:11" ht="17.25" customHeight="1">
      <c r="A41" s="14">
        <v>46302</v>
      </c>
      <c r="B41" s="15" t="s">
        <v>49</v>
      </c>
      <c r="C41" s="16"/>
      <c r="D41" s="16"/>
      <c r="E41" s="16"/>
      <c r="F41" s="17">
        <f t="shared" si="14"/>
        <v>50</v>
      </c>
      <c r="G41" s="18" t="str">
        <f t="shared" si="15"/>
        <v/>
      </c>
      <c r="H41" s="15" t="str">
        <f t="shared" si="16"/>
        <v>미입력</v>
      </c>
      <c r="I41" s="17">
        <f t="shared" si="17"/>
        <v>65</v>
      </c>
      <c r="J41" s="18" t="str">
        <f t="shared" si="18"/>
        <v/>
      </c>
      <c r="K41" s="15" t="str">
        <f t="shared" si="19"/>
        <v>미입력</v>
      </c>
    </row>
    <row r="42" spans="1:11" ht="17.25" customHeight="1">
      <c r="A42" s="14">
        <v>46303</v>
      </c>
      <c r="B42" s="15" t="s">
        <v>51</v>
      </c>
      <c r="C42" s="16"/>
      <c r="D42" s="16"/>
      <c r="E42" s="16"/>
      <c r="F42" s="17">
        <f t="shared" si="14"/>
        <v>50</v>
      </c>
      <c r="G42" s="18" t="str">
        <f t="shared" si="15"/>
        <v/>
      </c>
      <c r="H42" s="15" t="str">
        <f t="shared" si="16"/>
        <v>미입력</v>
      </c>
      <c r="I42" s="17">
        <f t="shared" si="17"/>
        <v>65</v>
      </c>
      <c r="J42" s="18" t="str">
        <f t="shared" si="18"/>
        <v/>
      </c>
      <c r="K42" s="15" t="str">
        <f t="shared" si="19"/>
        <v>미입력</v>
      </c>
    </row>
    <row r="43" spans="1:11" ht="17.25" customHeight="1">
      <c r="A43" s="14">
        <v>46304</v>
      </c>
      <c r="B43" s="15" t="s">
        <v>54</v>
      </c>
      <c r="C43" s="16"/>
      <c r="D43" s="16"/>
      <c r="E43" s="16"/>
      <c r="F43" s="17">
        <f t="shared" si="14"/>
        <v>50</v>
      </c>
      <c r="G43" s="18" t="str">
        <f t="shared" si="15"/>
        <v/>
      </c>
      <c r="H43" s="15" t="str">
        <f t="shared" si="16"/>
        <v>미입력</v>
      </c>
      <c r="I43" s="17">
        <f t="shared" si="17"/>
        <v>65</v>
      </c>
      <c r="J43" s="18" t="str">
        <f t="shared" si="18"/>
        <v/>
      </c>
      <c r="K43" s="15" t="str">
        <f t="shared" si="19"/>
        <v>미입력</v>
      </c>
    </row>
    <row r="44" spans="1:11" ht="17.25" customHeight="1">
      <c r="A44" s="23">
        <v>46305</v>
      </c>
      <c r="B44" s="24" t="s">
        <v>56</v>
      </c>
      <c r="C44" s="16"/>
      <c r="D44" s="16"/>
      <c r="E44" s="16"/>
      <c r="F44" s="25">
        <f t="shared" si="14"/>
        <v>50</v>
      </c>
      <c r="G44" s="26" t="str">
        <f t="shared" si="15"/>
        <v/>
      </c>
      <c r="H44" s="24" t="str">
        <f t="shared" si="16"/>
        <v>미입력</v>
      </c>
      <c r="I44" s="25">
        <f t="shared" si="17"/>
        <v>65</v>
      </c>
      <c r="J44" s="26" t="str">
        <f t="shared" si="18"/>
        <v/>
      </c>
      <c r="K44" s="24" t="str">
        <f t="shared" si="19"/>
        <v>미입력</v>
      </c>
    </row>
    <row r="45" spans="1:11" ht="17.25" customHeight="1">
      <c r="A45" s="27">
        <v>46306</v>
      </c>
      <c r="B45" s="28" t="s">
        <v>58</v>
      </c>
      <c r="C45" s="16"/>
      <c r="D45" s="16"/>
      <c r="E45" s="16"/>
      <c r="F45" s="29">
        <f t="shared" si="14"/>
        <v>50</v>
      </c>
      <c r="G45" s="30" t="str">
        <f t="shared" si="15"/>
        <v/>
      </c>
      <c r="H45" s="28" t="str">
        <f t="shared" si="16"/>
        <v>미입력</v>
      </c>
      <c r="I45" s="29">
        <f t="shared" si="17"/>
        <v>65</v>
      </c>
      <c r="J45" s="30" t="str">
        <f t="shared" si="18"/>
        <v/>
      </c>
      <c r="K45" s="28" t="str">
        <f t="shared" si="19"/>
        <v>미입력</v>
      </c>
    </row>
    <row r="46" spans="1:11" ht="17.25" customHeight="1">
      <c r="A46" s="14">
        <v>46307</v>
      </c>
      <c r="B46" s="15" t="s">
        <v>60</v>
      </c>
      <c r="C46" s="16"/>
      <c r="D46" s="16"/>
      <c r="E46" s="16"/>
      <c r="F46" s="17">
        <f t="shared" si="14"/>
        <v>50</v>
      </c>
      <c r="G46" s="18" t="str">
        <f t="shared" si="15"/>
        <v/>
      </c>
      <c r="H46" s="15" t="str">
        <f t="shared" si="16"/>
        <v>미입력</v>
      </c>
      <c r="I46" s="17">
        <f t="shared" si="17"/>
        <v>65</v>
      </c>
      <c r="J46" s="18" t="str">
        <f t="shared" si="18"/>
        <v/>
      </c>
      <c r="K46" s="15" t="str">
        <f t="shared" si="19"/>
        <v>미입력</v>
      </c>
    </row>
    <row r="47" spans="1:11" ht="17.25" customHeight="1">
      <c r="A47" s="14">
        <v>46308</v>
      </c>
      <c r="B47" s="15" t="s">
        <v>47</v>
      </c>
      <c r="C47" s="16"/>
      <c r="D47" s="16"/>
      <c r="E47" s="16"/>
      <c r="F47" s="17">
        <f t="shared" si="14"/>
        <v>50</v>
      </c>
      <c r="G47" s="18" t="str">
        <f t="shared" si="15"/>
        <v/>
      </c>
      <c r="H47" s="15" t="str">
        <f t="shared" si="16"/>
        <v>미입력</v>
      </c>
      <c r="I47" s="17">
        <f t="shared" si="17"/>
        <v>65</v>
      </c>
      <c r="J47" s="18" t="str">
        <f t="shared" si="18"/>
        <v/>
      </c>
      <c r="K47" s="15" t="str">
        <f t="shared" si="19"/>
        <v>미입력</v>
      </c>
    </row>
    <row r="48" spans="1:11" ht="17.25" customHeight="1">
      <c r="A48" s="14">
        <v>46309</v>
      </c>
      <c r="B48" s="15" t="s">
        <v>49</v>
      </c>
      <c r="C48" s="16"/>
      <c r="D48" s="16"/>
      <c r="E48" s="16"/>
      <c r="F48" s="17">
        <f t="shared" si="14"/>
        <v>50</v>
      </c>
      <c r="G48" s="18" t="str">
        <f t="shared" si="15"/>
        <v/>
      </c>
      <c r="H48" s="15" t="str">
        <f t="shared" si="16"/>
        <v>미입력</v>
      </c>
      <c r="I48" s="17">
        <f t="shared" si="17"/>
        <v>65</v>
      </c>
      <c r="J48" s="18" t="str">
        <f t="shared" si="18"/>
        <v/>
      </c>
      <c r="K48" s="15" t="str">
        <f t="shared" si="19"/>
        <v>미입력</v>
      </c>
    </row>
    <row r="49" spans="1:11" ht="17.25" customHeight="1">
      <c r="A49" s="14">
        <v>46310</v>
      </c>
      <c r="B49" s="15" t="s">
        <v>51</v>
      </c>
      <c r="C49" s="16"/>
      <c r="D49" s="16"/>
      <c r="E49" s="16"/>
      <c r="F49" s="17">
        <f t="shared" si="14"/>
        <v>50</v>
      </c>
      <c r="G49" s="18" t="str">
        <f t="shared" si="15"/>
        <v/>
      </c>
      <c r="H49" s="15" t="str">
        <f t="shared" si="16"/>
        <v>미입력</v>
      </c>
      <c r="I49" s="17">
        <f t="shared" si="17"/>
        <v>65</v>
      </c>
      <c r="J49" s="18" t="str">
        <f t="shared" si="18"/>
        <v/>
      </c>
      <c r="K49" s="15" t="str">
        <f t="shared" si="19"/>
        <v>미입력</v>
      </c>
    </row>
    <row r="50" spans="1:11" ht="17.25" customHeight="1">
      <c r="A50" s="14">
        <v>46311</v>
      </c>
      <c r="B50" s="15" t="s">
        <v>54</v>
      </c>
      <c r="C50" s="16"/>
      <c r="D50" s="16"/>
      <c r="E50" s="16"/>
      <c r="F50" s="17">
        <f t="shared" si="14"/>
        <v>50</v>
      </c>
      <c r="G50" s="18" t="str">
        <f t="shared" si="15"/>
        <v/>
      </c>
      <c r="H50" s="15" t="str">
        <f t="shared" si="16"/>
        <v>미입력</v>
      </c>
      <c r="I50" s="17">
        <f t="shared" si="17"/>
        <v>65</v>
      </c>
      <c r="J50" s="18" t="str">
        <f t="shared" si="18"/>
        <v/>
      </c>
      <c r="K50" s="15" t="str">
        <f t="shared" si="19"/>
        <v>미입력</v>
      </c>
    </row>
    <row r="51" spans="1:11" ht="17.25" customHeight="1">
      <c r="A51" s="23">
        <v>46312</v>
      </c>
      <c r="B51" s="24" t="s">
        <v>56</v>
      </c>
      <c r="C51" s="16"/>
      <c r="D51" s="16"/>
      <c r="E51" s="16"/>
      <c r="F51" s="25">
        <f t="shared" si="14"/>
        <v>50</v>
      </c>
      <c r="G51" s="26" t="str">
        <f t="shared" si="15"/>
        <v/>
      </c>
      <c r="H51" s="24" t="str">
        <f t="shared" si="16"/>
        <v>미입력</v>
      </c>
      <c r="I51" s="25">
        <f t="shared" si="17"/>
        <v>65</v>
      </c>
      <c r="J51" s="26" t="str">
        <f t="shared" si="18"/>
        <v/>
      </c>
      <c r="K51" s="24" t="str">
        <f t="shared" si="19"/>
        <v>미입력</v>
      </c>
    </row>
    <row r="52" spans="1:11" ht="17.25" customHeight="1">
      <c r="A52" s="27">
        <v>46313</v>
      </c>
      <c r="B52" s="28" t="s">
        <v>58</v>
      </c>
      <c r="C52" s="16"/>
      <c r="D52" s="16"/>
      <c r="E52" s="16"/>
      <c r="F52" s="29">
        <f t="shared" si="14"/>
        <v>50</v>
      </c>
      <c r="G52" s="30" t="str">
        <f t="shared" si="15"/>
        <v/>
      </c>
      <c r="H52" s="28" t="str">
        <f t="shared" si="16"/>
        <v>미입력</v>
      </c>
      <c r="I52" s="29">
        <f t="shared" si="17"/>
        <v>65</v>
      </c>
      <c r="J52" s="30" t="str">
        <f t="shared" si="18"/>
        <v/>
      </c>
      <c r="K52" s="28" t="str">
        <f t="shared" si="19"/>
        <v>미입력</v>
      </c>
    </row>
    <row r="53" spans="1:11" ht="17.25" customHeight="1">
      <c r="A53" s="14">
        <v>46314</v>
      </c>
      <c r="B53" s="15" t="s">
        <v>60</v>
      </c>
      <c r="C53" s="16"/>
      <c r="D53" s="16"/>
      <c r="E53" s="16"/>
      <c r="F53" s="17">
        <f t="shared" si="14"/>
        <v>50</v>
      </c>
      <c r="G53" s="18" t="str">
        <f t="shared" si="15"/>
        <v/>
      </c>
      <c r="H53" s="15" t="str">
        <f t="shared" si="16"/>
        <v>미입력</v>
      </c>
      <c r="I53" s="17">
        <f t="shared" si="17"/>
        <v>65</v>
      </c>
      <c r="J53" s="18" t="str">
        <f t="shared" si="18"/>
        <v/>
      </c>
      <c r="K53" s="15" t="str">
        <f t="shared" si="19"/>
        <v>미입력</v>
      </c>
    </row>
    <row r="54" spans="1:11" ht="17.25" customHeight="1">
      <c r="A54" s="14">
        <v>46315</v>
      </c>
      <c r="B54" s="15" t="s">
        <v>47</v>
      </c>
      <c r="C54" s="16"/>
      <c r="D54" s="16"/>
      <c r="E54" s="16"/>
      <c r="F54" s="17">
        <f t="shared" si="14"/>
        <v>50</v>
      </c>
      <c r="G54" s="18" t="str">
        <f t="shared" si="15"/>
        <v/>
      </c>
      <c r="H54" s="15" t="str">
        <f t="shared" si="16"/>
        <v>미입력</v>
      </c>
      <c r="I54" s="17">
        <f t="shared" si="17"/>
        <v>65</v>
      </c>
      <c r="J54" s="18" t="str">
        <f t="shared" si="18"/>
        <v/>
      </c>
      <c r="K54" s="15" t="str">
        <f t="shared" si="19"/>
        <v>미입력</v>
      </c>
    </row>
    <row r="55" spans="1:11" ht="17.25" customHeight="1">
      <c r="A55" s="14">
        <v>46316</v>
      </c>
      <c r="B55" s="15" t="s">
        <v>49</v>
      </c>
      <c r="C55" s="16"/>
      <c r="D55" s="16"/>
      <c r="E55" s="16"/>
      <c r="F55" s="17">
        <f t="shared" si="14"/>
        <v>50</v>
      </c>
      <c r="G55" s="18" t="str">
        <f t="shared" si="15"/>
        <v/>
      </c>
      <c r="H55" s="15" t="str">
        <f t="shared" si="16"/>
        <v>미입력</v>
      </c>
      <c r="I55" s="17">
        <f t="shared" si="17"/>
        <v>65</v>
      </c>
      <c r="J55" s="18" t="str">
        <f t="shared" si="18"/>
        <v/>
      </c>
      <c r="K55" s="15" t="str">
        <f t="shared" si="19"/>
        <v>미입력</v>
      </c>
    </row>
    <row r="56" spans="1:11" ht="17.25" customHeight="1">
      <c r="A56" s="14">
        <v>46317</v>
      </c>
      <c r="B56" s="15" t="s">
        <v>51</v>
      </c>
      <c r="C56" s="16"/>
      <c r="D56" s="16"/>
      <c r="E56" s="16"/>
      <c r="F56" s="17">
        <f t="shared" si="14"/>
        <v>50</v>
      </c>
      <c r="G56" s="18" t="str">
        <f t="shared" si="15"/>
        <v/>
      </c>
      <c r="H56" s="15" t="str">
        <f t="shared" si="16"/>
        <v>미입력</v>
      </c>
      <c r="I56" s="17">
        <f t="shared" si="17"/>
        <v>65</v>
      </c>
      <c r="J56" s="18" t="str">
        <f t="shared" si="18"/>
        <v/>
      </c>
      <c r="K56" s="15" t="str">
        <f t="shared" si="19"/>
        <v>미입력</v>
      </c>
    </row>
    <row r="57" spans="1:11" ht="17.25" customHeight="1">
      <c r="A57" s="14">
        <v>46318</v>
      </c>
      <c r="B57" s="15" t="s">
        <v>54</v>
      </c>
      <c r="C57" s="16"/>
      <c r="D57" s="16"/>
      <c r="E57" s="16"/>
      <c r="F57" s="17">
        <f t="shared" si="14"/>
        <v>50</v>
      </c>
      <c r="G57" s="18" t="str">
        <f t="shared" si="15"/>
        <v/>
      </c>
      <c r="H57" s="15" t="str">
        <f t="shared" si="16"/>
        <v>미입력</v>
      </c>
      <c r="I57" s="17">
        <f t="shared" si="17"/>
        <v>65</v>
      </c>
      <c r="J57" s="18" t="str">
        <f t="shared" si="18"/>
        <v/>
      </c>
      <c r="K57" s="15" t="str">
        <f t="shared" si="19"/>
        <v>미입력</v>
      </c>
    </row>
    <row r="58" spans="1:11" ht="17.25" customHeight="1">
      <c r="A58" s="23">
        <v>46319</v>
      </c>
      <c r="B58" s="24" t="s">
        <v>56</v>
      </c>
      <c r="C58" s="16"/>
      <c r="D58" s="16"/>
      <c r="E58" s="16"/>
      <c r="F58" s="25">
        <f t="shared" si="14"/>
        <v>50</v>
      </c>
      <c r="G58" s="26" t="str">
        <f t="shared" si="15"/>
        <v/>
      </c>
      <c r="H58" s="24" t="str">
        <f t="shared" si="16"/>
        <v>미입력</v>
      </c>
      <c r="I58" s="25">
        <f t="shared" si="17"/>
        <v>65</v>
      </c>
      <c r="J58" s="26" t="str">
        <f t="shared" si="18"/>
        <v/>
      </c>
      <c r="K58" s="24" t="str">
        <f t="shared" si="19"/>
        <v>미입력</v>
      </c>
    </row>
    <row r="59" spans="1:11" ht="17.25" customHeight="1">
      <c r="A59" s="27">
        <v>46320</v>
      </c>
      <c r="B59" s="28" t="s">
        <v>58</v>
      </c>
      <c r="C59" s="16"/>
      <c r="D59" s="16"/>
      <c r="E59" s="16"/>
      <c r="F59" s="29">
        <f t="shared" si="14"/>
        <v>50</v>
      </c>
      <c r="G59" s="30" t="str">
        <f t="shared" si="15"/>
        <v/>
      </c>
      <c r="H59" s="28" t="str">
        <f t="shared" si="16"/>
        <v>미입력</v>
      </c>
      <c r="I59" s="29">
        <f t="shared" si="17"/>
        <v>65</v>
      </c>
      <c r="J59" s="30" t="str">
        <f t="shared" si="18"/>
        <v/>
      </c>
      <c r="K59" s="28" t="str">
        <f t="shared" si="19"/>
        <v>미입력</v>
      </c>
    </row>
    <row r="60" spans="1:11" ht="17.25" customHeight="1">
      <c r="A60" s="14">
        <v>46321</v>
      </c>
      <c r="B60" s="15" t="s">
        <v>60</v>
      </c>
      <c r="C60" s="16"/>
      <c r="D60" s="16"/>
      <c r="E60" s="16"/>
      <c r="F60" s="17">
        <f t="shared" si="14"/>
        <v>50</v>
      </c>
      <c r="G60" s="18" t="str">
        <f t="shared" si="15"/>
        <v/>
      </c>
      <c r="H60" s="15" t="str">
        <f t="shared" si="16"/>
        <v>미입력</v>
      </c>
      <c r="I60" s="17">
        <f t="shared" si="17"/>
        <v>65</v>
      </c>
      <c r="J60" s="18" t="str">
        <f t="shared" si="18"/>
        <v/>
      </c>
      <c r="K60" s="15" t="str">
        <f t="shared" si="19"/>
        <v>미입력</v>
      </c>
    </row>
    <row r="61" spans="1:11" ht="17.25" customHeight="1">
      <c r="A61" s="14">
        <v>46322</v>
      </c>
      <c r="B61" s="15" t="s">
        <v>47</v>
      </c>
      <c r="C61" s="16"/>
      <c r="D61" s="16"/>
      <c r="E61" s="16"/>
      <c r="F61" s="17">
        <f t="shared" si="14"/>
        <v>50</v>
      </c>
      <c r="G61" s="18" t="str">
        <f t="shared" si="15"/>
        <v/>
      </c>
      <c r="H61" s="15" t="str">
        <f t="shared" si="16"/>
        <v>미입력</v>
      </c>
      <c r="I61" s="17">
        <f t="shared" si="17"/>
        <v>65</v>
      </c>
      <c r="J61" s="18" t="str">
        <f t="shared" si="18"/>
        <v/>
      </c>
      <c r="K61" s="15" t="str">
        <f t="shared" si="19"/>
        <v>미입력</v>
      </c>
    </row>
    <row r="62" spans="1:11" ht="17.25" customHeight="1">
      <c r="A62" s="14">
        <v>46323</v>
      </c>
      <c r="B62" s="15" t="s">
        <v>49</v>
      </c>
      <c r="C62" s="16"/>
      <c r="D62" s="16"/>
      <c r="E62" s="16"/>
      <c r="F62" s="17">
        <f t="shared" si="14"/>
        <v>50</v>
      </c>
      <c r="G62" s="18" t="str">
        <f t="shared" si="15"/>
        <v/>
      </c>
      <c r="H62" s="15" t="str">
        <f t="shared" si="16"/>
        <v>미입력</v>
      </c>
      <c r="I62" s="17">
        <f t="shared" si="17"/>
        <v>65</v>
      </c>
      <c r="J62" s="18" t="str">
        <f t="shared" si="18"/>
        <v/>
      </c>
      <c r="K62" s="15" t="str">
        <f t="shared" si="19"/>
        <v>미입력</v>
      </c>
    </row>
    <row r="63" spans="1:11" ht="17.25" customHeight="1">
      <c r="A63" s="14">
        <v>46324</v>
      </c>
      <c r="B63" s="15" t="s">
        <v>51</v>
      </c>
      <c r="C63" s="16"/>
      <c r="D63" s="16"/>
      <c r="E63" s="16"/>
      <c r="F63" s="17">
        <f t="shared" si="14"/>
        <v>50</v>
      </c>
      <c r="G63" s="18" t="str">
        <f t="shared" si="15"/>
        <v/>
      </c>
      <c r="H63" s="15" t="str">
        <f t="shared" si="16"/>
        <v>미입력</v>
      </c>
      <c r="I63" s="17">
        <f t="shared" si="17"/>
        <v>65</v>
      </c>
      <c r="J63" s="18" t="str">
        <f t="shared" si="18"/>
        <v/>
      </c>
      <c r="K63" s="15" t="str">
        <f t="shared" si="19"/>
        <v>미입력</v>
      </c>
    </row>
    <row r="64" spans="1:11" ht="17.25" customHeight="1">
      <c r="A64" s="14">
        <v>46325</v>
      </c>
      <c r="B64" s="15" t="s">
        <v>54</v>
      </c>
      <c r="C64" s="16"/>
      <c r="D64" s="16"/>
      <c r="E64" s="16"/>
      <c r="F64" s="17">
        <f t="shared" si="14"/>
        <v>50</v>
      </c>
      <c r="G64" s="18" t="str">
        <f t="shared" si="15"/>
        <v/>
      </c>
      <c r="H64" s="15" t="str">
        <f t="shared" si="16"/>
        <v>미입력</v>
      </c>
      <c r="I64" s="17">
        <f t="shared" si="17"/>
        <v>65</v>
      </c>
      <c r="J64" s="18" t="str">
        <f t="shared" si="18"/>
        <v/>
      </c>
      <c r="K64" s="15" t="str">
        <f t="shared" si="19"/>
        <v>미입력</v>
      </c>
    </row>
    <row r="65" spans="1:11" ht="17.25" customHeight="1">
      <c r="A65" s="23">
        <v>46326</v>
      </c>
      <c r="B65" s="24" t="s">
        <v>56</v>
      </c>
      <c r="C65" s="16"/>
      <c r="D65" s="16"/>
      <c r="E65" s="16"/>
      <c r="F65" s="25">
        <f t="shared" si="14"/>
        <v>50</v>
      </c>
      <c r="G65" s="26" t="str">
        <f t="shared" si="15"/>
        <v/>
      </c>
      <c r="H65" s="24" t="str">
        <f t="shared" si="16"/>
        <v>미입력</v>
      </c>
      <c r="I65" s="25">
        <f t="shared" si="17"/>
        <v>65</v>
      </c>
      <c r="J65" s="26" t="str">
        <f t="shared" si="18"/>
        <v/>
      </c>
      <c r="K65" s="24" t="str">
        <f t="shared" si="19"/>
        <v>미입력</v>
      </c>
    </row>
    <row r="66" spans="1:11" ht="17.25" customHeight="1">
      <c r="A66" s="27">
        <v>46327</v>
      </c>
      <c r="B66" s="28" t="s">
        <v>58</v>
      </c>
      <c r="C66" s="16"/>
      <c r="D66" s="16"/>
      <c r="E66" s="16"/>
      <c r="F66" s="29">
        <f t="shared" si="14"/>
        <v>50</v>
      </c>
      <c r="G66" s="30" t="str">
        <f t="shared" si="15"/>
        <v/>
      </c>
      <c r="H66" s="28" t="str">
        <f t="shared" si="16"/>
        <v>미입력</v>
      </c>
      <c r="I66" s="29">
        <f t="shared" si="17"/>
        <v>65</v>
      </c>
      <c r="J66" s="30" t="str">
        <f t="shared" si="18"/>
        <v/>
      </c>
      <c r="K66" s="28" t="str">
        <f t="shared" si="19"/>
        <v>미입력</v>
      </c>
    </row>
    <row r="67" spans="1:11" ht="17.25" customHeight="1">
      <c r="A67" s="14">
        <v>46328</v>
      </c>
      <c r="B67" s="15" t="s">
        <v>60</v>
      </c>
      <c r="C67" s="16"/>
      <c r="D67" s="16"/>
      <c r="E67" s="16"/>
      <c r="F67" s="17">
        <f t="shared" si="14"/>
        <v>50</v>
      </c>
      <c r="G67" s="18" t="str">
        <f t="shared" si="15"/>
        <v/>
      </c>
      <c r="H67" s="15" t="str">
        <f t="shared" si="16"/>
        <v>미입력</v>
      </c>
      <c r="I67" s="17">
        <f t="shared" si="17"/>
        <v>65</v>
      </c>
      <c r="J67" s="18" t="str">
        <f t="shared" si="18"/>
        <v/>
      </c>
      <c r="K67" s="15" t="str">
        <f t="shared" si="19"/>
        <v>미입력</v>
      </c>
    </row>
    <row r="68" spans="1:11" ht="17.25" customHeight="1">
      <c r="A68" s="14">
        <v>46329</v>
      </c>
      <c r="B68" s="15" t="s">
        <v>47</v>
      </c>
      <c r="C68" s="16"/>
      <c r="D68" s="16"/>
      <c r="E68" s="16"/>
      <c r="F68" s="17">
        <f t="shared" si="14"/>
        <v>50</v>
      </c>
      <c r="G68" s="18" t="str">
        <f t="shared" si="15"/>
        <v/>
      </c>
      <c r="H68" s="15" t="str">
        <f t="shared" si="16"/>
        <v>미입력</v>
      </c>
      <c r="I68" s="17">
        <f t="shared" si="17"/>
        <v>65</v>
      </c>
      <c r="J68" s="18" t="str">
        <f t="shared" si="18"/>
        <v/>
      </c>
      <c r="K68" s="15" t="str">
        <f t="shared" si="19"/>
        <v>미입력</v>
      </c>
    </row>
    <row r="69" spans="1:11" ht="17.25" customHeight="1">
      <c r="A69" s="14">
        <v>46330</v>
      </c>
      <c r="B69" s="15" t="s">
        <v>49</v>
      </c>
      <c r="C69" s="16"/>
      <c r="D69" s="16"/>
      <c r="E69" s="16"/>
      <c r="F69" s="17">
        <f t="shared" ref="F69:F100" si="20">IF(OR($E69="오전반차",$E69="오후반차"),$D$2/2,$D$2)</f>
        <v>50</v>
      </c>
      <c r="G69" s="18" t="str">
        <f t="shared" ref="G69:G100" si="21">IF($C69="","",$C69/$F69)</f>
        <v/>
      </c>
      <c r="H69" s="15" t="str">
        <f t="shared" ref="H69:H100" si="22">IF($C69="",IF($E69="","미입력",$E69),IF($C69&gt;=$F69,"달성","미달"))</f>
        <v>미입력</v>
      </c>
      <c r="I69" s="17">
        <f t="shared" ref="I69:I100" si="23">IF(OR($E69="오전반차",$E69="오후반차"),$F$2/2,$F$2)</f>
        <v>65</v>
      </c>
      <c r="J69" s="18" t="str">
        <f t="shared" ref="J69:J100" si="24">IF($D69="","",$D69/$I69)</f>
        <v/>
      </c>
      <c r="K69" s="15" t="str">
        <f t="shared" ref="K69:K100" si="25">IF($D69="",IF($E69="","미입력",$E69),IF($D69&gt;=$I69,"달성","미달"))</f>
        <v>미입력</v>
      </c>
    </row>
    <row r="70" spans="1:11" ht="17.25" customHeight="1">
      <c r="A70" s="14">
        <v>46331</v>
      </c>
      <c r="B70" s="15" t="s">
        <v>51</v>
      </c>
      <c r="C70" s="16"/>
      <c r="D70" s="16"/>
      <c r="E70" s="16"/>
      <c r="F70" s="17">
        <f t="shared" si="20"/>
        <v>50</v>
      </c>
      <c r="G70" s="18" t="str">
        <f t="shared" si="21"/>
        <v/>
      </c>
      <c r="H70" s="15" t="str">
        <f t="shared" si="22"/>
        <v>미입력</v>
      </c>
      <c r="I70" s="17">
        <f t="shared" si="23"/>
        <v>65</v>
      </c>
      <c r="J70" s="18" t="str">
        <f t="shared" si="24"/>
        <v/>
      </c>
      <c r="K70" s="15" t="str">
        <f t="shared" si="25"/>
        <v>미입력</v>
      </c>
    </row>
    <row r="71" spans="1:11" ht="17.25" customHeight="1">
      <c r="A71" s="14">
        <v>46332</v>
      </c>
      <c r="B71" s="15" t="s">
        <v>54</v>
      </c>
      <c r="C71" s="16"/>
      <c r="D71" s="16"/>
      <c r="E71" s="16"/>
      <c r="F71" s="17">
        <f t="shared" si="20"/>
        <v>50</v>
      </c>
      <c r="G71" s="18" t="str">
        <f t="shared" si="21"/>
        <v/>
      </c>
      <c r="H71" s="15" t="str">
        <f t="shared" si="22"/>
        <v>미입력</v>
      </c>
      <c r="I71" s="17">
        <f t="shared" si="23"/>
        <v>65</v>
      </c>
      <c r="J71" s="18" t="str">
        <f t="shared" si="24"/>
        <v/>
      </c>
      <c r="K71" s="15" t="str">
        <f t="shared" si="25"/>
        <v>미입력</v>
      </c>
    </row>
    <row r="72" spans="1:11" ht="17.25" customHeight="1">
      <c r="A72" s="23">
        <v>46333</v>
      </c>
      <c r="B72" s="24" t="s">
        <v>56</v>
      </c>
      <c r="C72" s="16"/>
      <c r="D72" s="16"/>
      <c r="E72" s="16"/>
      <c r="F72" s="25">
        <f t="shared" si="20"/>
        <v>50</v>
      </c>
      <c r="G72" s="26" t="str">
        <f t="shared" si="21"/>
        <v/>
      </c>
      <c r="H72" s="24" t="str">
        <f t="shared" si="22"/>
        <v>미입력</v>
      </c>
      <c r="I72" s="25">
        <f t="shared" si="23"/>
        <v>65</v>
      </c>
      <c r="J72" s="26" t="str">
        <f t="shared" si="24"/>
        <v/>
      </c>
      <c r="K72" s="24" t="str">
        <f t="shared" si="25"/>
        <v>미입력</v>
      </c>
    </row>
    <row r="73" spans="1:11" ht="17.25" customHeight="1">
      <c r="A73" s="27">
        <v>46334</v>
      </c>
      <c r="B73" s="28" t="s">
        <v>58</v>
      </c>
      <c r="C73" s="16"/>
      <c r="D73" s="16"/>
      <c r="E73" s="16"/>
      <c r="F73" s="29">
        <f t="shared" si="20"/>
        <v>50</v>
      </c>
      <c r="G73" s="30" t="str">
        <f t="shared" si="21"/>
        <v/>
      </c>
      <c r="H73" s="28" t="str">
        <f t="shared" si="22"/>
        <v>미입력</v>
      </c>
      <c r="I73" s="29">
        <f t="shared" si="23"/>
        <v>65</v>
      </c>
      <c r="J73" s="30" t="str">
        <f t="shared" si="24"/>
        <v/>
      </c>
      <c r="K73" s="28" t="str">
        <f t="shared" si="25"/>
        <v>미입력</v>
      </c>
    </row>
    <row r="74" spans="1:11" ht="17.25" customHeight="1">
      <c r="A74" s="14">
        <v>46335</v>
      </c>
      <c r="B74" s="15" t="s">
        <v>60</v>
      </c>
      <c r="C74" s="16"/>
      <c r="D74" s="16"/>
      <c r="E74" s="16"/>
      <c r="F74" s="17">
        <f t="shared" si="20"/>
        <v>50</v>
      </c>
      <c r="G74" s="18" t="str">
        <f t="shared" si="21"/>
        <v/>
      </c>
      <c r="H74" s="15" t="str">
        <f t="shared" si="22"/>
        <v>미입력</v>
      </c>
      <c r="I74" s="17">
        <f t="shared" si="23"/>
        <v>65</v>
      </c>
      <c r="J74" s="18" t="str">
        <f t="shared" si="24"/>
        <v/>
      </c>
      <c r="K74" s="15" t="str">
        <f t="shared" si="25"/>
        <v>미입력</v>
      </c>
    </row>
    <row r="75" spans="1:11" ht="17.25" customHeight="1">
      <c r="A75" s="14">
        <v>46336</v>
      </c>
      <c r="B75" s="15" t="s">
        <v>47</v>
      </c>
      <c r="C75" s="16"/>
      <c r="D75" s="16"/>
      <c r="E75" s="16"/>
      <c r="F75" s="17">
        <f t="shared" si="20"/>
        <v>50</v>
      </c>
      <c r="G75" s="18" t="str">
        <f t="shared" si="21"/>
        <v/>
      </c>
      <c r="H75" s="15" t="str">
        <f t="shared" si="22"/>
        <v>미입력</v>
      </c>
      <c r="I75" s="17">
        <f t="shared" si="23"/>
        <v>65</v>
      </c>
      <c r="J75" s="18" t="str">
        <f t="shared" si="24"/>
        <v/>
      </c>
      <c r="K75" s="15" t="str">
        <f t="shared" si="25"/>
        <v>미입력</v>
      </c>
    </row>
    <row r="76" spans="1:11" ht="17.25" customHeight="1">
      <c r="A76" s="14">
        <v>46337</v>
      </c>
      <c r="B76" s="15" t="s">
        <v>49</v>
      </c>
      <c r="C76" s="16"/>
      <c r="D76" s="16"/>
      <c r="E76" s="16"/>
      <c r="F76" s="17">
        <f t="shared" si="20"/>
        <v>50</v>
      </c>
      <c r="G76" s="18" t="str">
        <f t="shared" si="21"/>
        <v/>
      </c>
      <c r="H76" s="15" t="str">
        <f t="shared" si="22"/>
        <v>미입력</v>
      </c>
      <c r="I76" s="17">
        <f t="shared" si="23"/>
        <v>65</v>
      </c>
      <c r="J76" s="18" t="str">
        <f t="shared" si="24"/>
        <v/>
      </c>
      <c r="K76" s="15" t="str">
        <f t="shared" si="25"/>
        <v>미입력</v>
      </c>
    </row>
    <row r="77" spans="1:11" ht="17.25" customHeight="1">
      <c r="A77" s="14">
        <v>46338</v>
      </c>
      <c r="B77" s="15" t="s">
        <v>51</v>
      </c>
      <c r="C77" s="16"/>
      <c r="D77" s="16"/>
      <c r="E77" s="16"/>
      <c r="F77" s="17">
        <f t="shared" si="20"/>
        <v>50</v>
      </c>
      <c r="G77" s="18" t="str">
        <f t="shared" si="21"/>
        <v/>
      </c>
      <c r="H77" s="15" t="str">
        <f t="shared" si="22"/>
        <v>미입력</v>
      </c>
      <c r="I77" s="17">
        <f t="shared" si="23"/>
        <v>65</v>
      </c>
      <c r="J77" s="18" t="str">
        <f t="shared" si="24"/>
        <v/>
      </c>
      <c r="K77" s="15" t="str">
        <f t="shared" si="25"/>
        <v>미입력</v>
      </c>
    </row>
    <row r="78" spans="1:11" ht="17.25" customHeight="1">
      <c r="A78" s="14">
        <v>46339</v>
      </c>
      <c r="B78" s="15" t="s">
        <v>54</v>
      </c>
      <c r="C78" s="16"/>
      <c r="D78" s="16"/>
      <c r="E78" s="16"/>
      <c r="F78" s="17">
        <f t="shared" si="20"/>
        <v>50</v>
      </c>
      <c r="G78" s="18" t="str">
        <f t="shared" si="21"/>
        <v/>
      </c>
      <c r="H78" s="15" t="str">
        <f t="shared" si="22"/>
        <v>미입력</v>
      </c>
      <c r="I78" s="17">
        <f t="shared" si="23"/>
        <v>65</v>
      </c>
      <c r="J78" s="18" t="str">
        <f t="shared" si="24"/>
        <v/>
      </c>
      <c r="K78" s="15" t="str">
        <f t="shared" si="25"/>
        <v>미입력</v>
      </c>
    </row>
    <row r="79" spans="1:11" ht="17.25" customHeight="1">
      <c r="A79" s="23">
        <v>46340</v>
      </c>
      <c r="B79" s="24" t="s">
        <v>56</v>
      </c>
      <c r="C79" s="16"/>
      <c r="D79" s="16"/>
      <c r="E79" s="16"/>
      <c r="F79" s="25">
        <f t="shared" si="20"/>
        <v>50</v>
      </c>
      <c r="G79" s="26" t="str">
        <f t="shared" si="21"/>
        <v/>
      </c>
      <c r="H79" s="24" t="str">
        <f t="shared" si="22"/>
        <v>미입력</v>
      </c>
      <c r="I79" s="25">
        <f t="shared" si="23"/>
        <v>65</v>
      </c>
      <c r="J79" s="26" t="str">
        <f t="shared" si="24"/>
        <v/>
      </c>
      <c r="K79" s="24" t="str">
        <f t="shared" si="25"/>
        <v>미입력</v>
      </c>
    </row>
    <row r="80" spans="1:11" ht="17.25" customHeight="1">
      <c r="A80" s="27">
        <v>46341</v>
      </c>
      <c r="B80" s="28" t="s">
        <v>58</v>
      </c>
      <c r="C80" s="16"/>
      <c r="D80" s="16"/>
      <c r="E80" s="16"/>
      <c r="F80" s="29">
        <f t="shared" si="20"/>
        <v>50</v>
      </c>
      <c r="G80" s="30" t="str">
        <f t="shared" si="21"/>
        <v/>
      </c>
      <c r="H80" s="28" t="str">
        <f t="shared" si="22"/>
        <v>미입력</v>
      </c>
      <c r="I80" s="29">
        <f t="shared" si="23"/>
        <v>65</v>
      </c>
      <c r="J80" s="30" t="str">
        <f t="shared" si="24"/>
        <v/>
      </c>
      <c r="K80" s="28" t="str">
        <f t="shared" si="25"/>
        <v>미입력</v>
      </c>
    </row>
    <row r="81" spans="1:11" ht="17.25" customHeight="1">
      <c r="A81" s="14">
        <v>46342</v>
      </c>
      <c r="B81" s="15" t="s">
        <v>60</v>
      </c>
      <c r="C81" s="16"/>
      <c r="D81" s="16"/>
      <c r="E81" s="16"/>
      <c r="F81" s="17">
        <f t="shared" si="20"/>
        <v>50</v>
      </c>
      <c r="G81" s="18" t="str">
        <f t="shared" si="21"/>
        <v/>
      </c>
      <c r="H81" s="15" t="str">
        <f t="shared" si="22"/>
        <v>미입력</v>
      </c>
      <c r="I81" s="17">
        <f t="shared" si="23"/>
        <v>65</v>
      </c>
      <c r="J81" s="18" t="str">
        <f t="shared" si="24"/>
        <v/>
      </c>
      <c r="K81" s="15" t="str">
        <f t="shared" si="25"/>
        <v>미입력</v>
      </c>
    </row>
    <row r="82" spans="1:11" ht="17.25" customHeight="1">
      <c r="A82" s="14">
        <v>46343</v>
      </c>
      <c r="B82" s="15" t="s">
        <v>47</v>
      </c>
      <c r="C82" s="16"/>
      <c r="D82" s="16"/>
      <c r="E82" s="16"/>
      <c r="F82" s="17">
        <f t="shared" si="20"/>
        <v>50</v>
      </c>
      <c r="G82" s="18" t="str">
        <f t="shared" si="21"/>
        <v/>
      </c>
      <c r="H82" s="15" t="str">
        <f t="shared" si="22"/>
        <v>미입력</v>
      </c>
      <c r="I82" s="17">
        <f t="shared" si="23"/>
        <v>65</v>
      </c>
      <c r="J82" s="18" t="str">
        <f t="shared" si="24"/>
        <v/>
      </c>
      <c r="K82" s="15" t="str">
        <f t="shared" si="25"/>
        <v>미입력</v>
      </c>
    </row>
    <row r="83" spans="1:11" ht="17.25" customHeight="1">
      <c r="A83" s="14">
        <v>46344</v>
      </c>
      <c r="B83" s="15" t="s">
        <v>49</v>
      </c>
      <c r="C83" s="16"/>
      <c r="D83" s="16"/>
      <c r="E83" s="16"/>
      <c r="F83" s="17">
        <f t="shared" si="20"/>
        <v>50</v>
      </c>
      <c r="G83" s="18" t="str">
        <f t="shared" si="21"/>
        <v/>
      </c>
      <c r="H83" s="15" t="str">
        <f t="shared" si="22"/>
        <v>미입력</v>
      </c>
      <c r="I83" s="17">
        <f t="shared" si="23"/>
        <v>65</v>
      </c>
      <c r="J83" s="18" t="str">
        <f t="shared" si="24"/>
        <v/>
      </c>
      <c r="K83" s="15" t="str">
        <f t="shared" si="25"/>
        <v>미입력</v>
      </c>
    </row>
    <row r="84" spans="1:11" ht="17.25" customHeight="1">
      <c r="A84" s="14">
        <v>46345</v>
      </c>
      <c r="B84" s="15" t="s">
        <v>51</v>
      </c>
      <c r="C84" s="16"/>
      <c r="D84" s="16"/>
      <c r="E84" s="16"/>
      <c r="F84" s="17">
        <f t="shared" si="20"/>
        <v>50</v>
      </c>
      <c r="G84" s="18" t="str">
        <f t="shared" si="21"/>
        <v/>
      </c>
      <c r="H84" s="15" t="str">
        <f t="shared" si="22"/>
        <v>미입력</v>
      </c>
      <c r="I84" s="17">
        <f t="shared" si="23"/>
        <v>65</v>
      </c>
      <c r="J84" s="18" t="str">
        <f t="shared" si="24"/>
        <v/>
      </c>
      <c r="K84" s="15" t="str">
        <f t="shared" si="25"/>
        <v>미입력</v>
      </c>
    </row>
    <row r="85" spans="1:11" ht="17.25" customHeight="1">
      <c r="A85" s="14">
        <v>46346</v>
      </c>
      <c r="B85" s="15" t="s">
        <v>54</v>
      </c>
      <c r="C85" s="16"/>
      <c r="D85" s="16"/>
      <c r="E85" s="16"/>
      <c r="F85" s="17">
        <f t="shared" si="20"/>
        <v>50</v>
      </c>
      <c r="G85" s="18" t="str">
        <f t="shared" si="21"/>
        <v/>
      </c>
      <c r="H85" s="15" t="str">
        <f t="shared" si="22"/>
        <v>미입력</v>
      </c>
      <c r="I85" s="17">
        <f t="shared" si="23"/>
        <v>65</v>
      </c>
      <c r="J85" s="18" t="str">
        <f t="shared" si="24"/>
        <v/>
      </c>
      <c r="K85" s="15" t="str">
        <f t="shared" si="25"/>
        <v>미입력</v>
      </c>
    </row>
    <row r="86" spans="1:11" ht="17.25" customHeight="1">
      <c r="A86" s="23">
        <v>46347</v>
      </c>
      <c r="B86" s="24" t="s">
        <v>56</v>
      </c>
      <c r="C86" s="16"/>
      <c r="D86" s="16"/>
      <c r="E86" s="16"/>
      <c r="F86" s="25">
        <f t="shared" si="20"/>
        <v>50</v>
      </c>
      <c r="G86" s="26" t="str">
        <f t="shared" si="21"/>
        <v/>
      </c>
      <c r="H86" s="24" t="str">
        <f t="shared" si="22"/>
        <v>미입력</v>
      </c>
      <c r="I86" s="25">
        <f t="shared" si="23"/>
        <v>65</v>
      </c>
      <c r="J86" s="26" t="str">
        <f t="shared" si="24"/>
        <v/>
      </c>
      <c r="K86" s="24" t="str">
        <f t="shared" si="25"/>
        <v>미입력</v>
      </c>
    </row>
    <row r="87" spans="1:11" ht="17.25" customHeight="1">
      <c r="A87" s="27">
        <v>46348</v>
      </c>
      <c r="B87" s="28" t="s">
        <v>58</v>
      </c>
      <c r="C87" s="16"/>
      <c r="D87" s="16"/>
      <c r="E87" s="16"/>
      <c r="F87" s="29">
        <f t="shared" si="20"/>
        <v>50</v>
      </c>
      <c r="G87" s="30" t="str">
        <f t="shared" si="21"/>
        <v/>
      </c>
      <c r="H87" s="28" t="str">
        <f t="shared" si="22"/>
        <v>미입력</v>
      </c>
      <c r="I87" s="29">
        <f t="shared" si="23"/>
        <v>65</v>
      </c>
      <c r="J87" s="30" t="str">
        <f t="shared" si="24"/>
        <v/>
      </c>
      <c r="K87" s="28" t="str">
        <f t="shared" si="25"/>
        <v>미입력</v>
      </c>
    </row>
    <row r="88" spans="1:11" ht="17.25" customHeight="1">
      <c r="A88" s="14">
        <v>46349</v>
      </c>
      <c r="B88" s="15" t="s">
        <v>60</v>
      </c>
      <c r="C88" s="16"/>
      <c r="D88" s="16"/>
      <c r="E88" s="16"/>
      <c r="F88" s="17">
        <f t="shared" si="20"/>
        <v>50</v>
      </c>
      <c r="G88" s="18" t="str">
        <f t="shared" si="21"/>
        <v/>
      </c>
      <c r="H88" s="15" t="str">
        <f t="shared" si="22"/>
        <v>미입력</v>
      </c>
      <c r="I88" s="17">
        <f t="shared" si="23"/>
        <v>65</v>
      </c>
      <c r="J88" s="18" t="str">
        <f t="shared" si="24"/>
        <v/>
      </c>
      <c r="K88" s="15" t="str">
        <f t="shared" si="25"/>
        <v>미입력</v>
      </c>
    </row>
    <row r="89" spans="1:11" ht="17.25" customHeight="1">
      <c r="A89" s="14">
        <v>46350</v>
      </c>
      <c r="B89" s="15" t="s">
        <v>47</v>
      </c>
      <c r="C89" s="16"/>
      <c r="D89" s="16"/>
      <c r="E89" s="16"/>
      <c r="F89" s="17">
        <f t="shared" si="20"/>
        <v>50</v>
      </c>
      <c r="G89" s="18" t="str">
        <f t="shared" si="21"/>
        <v/>
      </c>
      <c r="H89" s="15" t="str">
        <f t="shared" si="22"/>
        <v>미입력</v>
      </c>
      <c r="I89" s="17">
        <f t="shared" si="23"/>
        <v>65</v>
      </c>
      <c r="J89" s="18" t="str">
        <f t="shared" si="24"/>
        <v/>
      </c>
      <c r="K89" s="15" t="str">
        <f t="shared" si="25"/>
        <v>미입력</v>
      </c>
    </row>
    <row r="90" spans="1:11" ht="17.25" customHeight="1">
      <c r="A90" s="14">
        <v>46351</v>
      </c>
      <c r="B90" s="15" t="s">
        <v>49</v>
      </c>
      <c r="C90" s="16"/>
      <c r="D90" s="16"/>
      <c r="E90" s="16"/>
      <c r="F90" s="17">
        <f t="shared" si="20"/>
        <v>50</v>
      </c>
      <c r="G90" s="18" t="str">
        <f t="shared" si="21"/>
        <v/>
      </c>
      <c r="H90" s="15" t="str">
        <f t="shared" si="22"/>
        <v>미입력</v>
      </c>
      <c r="I90" s="17">
        <f t="shared" si="23"/>
        <v>65</v>
      </c>
      <c r="J90" s="18" t="str">
        <f t="shared" si="24"/>
        <v/>
      </c>
      <c r="K90" s="15" t="str">
        <f t="shared" si="25"/>
        <v>미입력</v>
      </c>
    </row>
    <row r="91" spans="1:11" ht="17.25" customHeight="1">
      <c r="A91" s="14">
        <v>46352</v>
      </c>
      <c r="B91" s="15" t="s">
        <v>51</v>
      </c>
      <c r="C91" s="16"/>
      <c r="D91" s="16"/>
      <c r="E91" s="16"/>
      <c r="F91" s="17">
        <f t="shared" si="20"/>
        <v>50</v>
      </c>
      <c r="G91" s="18" t="str">
        <f t="shared" si="21"/>
        <v/>
      </c>
      <c r="H91" s="15" t="str">
        <f t="shared" si="22"/>
        <v>미입력</v>
      </c>
      <c r="I91" s="17">
        <f t="shared" si="23"/>
        <v>65</v>
      </c>
      <c r="J91" s="18" t="str">
        <f t="shared" si="24"/>
        <v/>
      </c>
      <c r="K91" s="15" t="str">
        <f t="shared" si="25"/>
        <v>미입력</v>
      </c>
    </row>
    <row r="92" spans="1:11" ht="17.25" customHeight="1">
      <c r="A92" s="14">
        <v>46353</v>
      </c>
      <c r="B92" s="15" t="s">
        <v>54</v>
      </c>
      <c r="C92" s="16"/>
      <c r="D92" s="16"/>
      <c r="E92" s="16"/>
      <c r="F92" s="17">
        <f t="shared" si="20"/>
        <v>50</v>
      </c>
      <c r="G92" s="18" t="str">
        <f t="shared" si="21"/>
        <v/>
      </c>
      <c r="H92" s="15" t="str">
        <f t="shared" si="22"/>
        <v>미입력</v>
      </c>
      <c r="I92" s="17">
        <f t="shared" si="23"/>
        <v>65</v>
      </c>
      <c r="J92" s="18" t="str">
        <f t="shared" si="24"/>
        <v/>
      </c>
      <c r="K92" s="15" t="str">
        <f t="shared" si="25"/>
        <v>미입력</v>
      </c>
    </row>
    <row r="93" spans="1:11" ht="17.25" customHeight="1">
      <c r="A93" s="23">
        <v>46354</v>
      </c>
      <c r="B93" s="24" t="s">
        <v>56</v>
      </c>
      <c r="C93" s="16"/>
      <c r="D93" s="16"/>
      <c r="E93" s="16"/>
      <c r="F93" s="25">
        <f t="shared" si="20"/>
        <v>50</v>
      </c>
      <c r="G93" s="26" t="str">
        <f t="shared" si="21"/>
        <v/>
      </c>
      <c r="H93" s="24" t="str">
        <f t="shared" si="22"/>
        <v>미입력</v>
      </c>
      <c r="I93" s="25">
        <f t="shared" si="23"/>
        <v>65</v>
      </c>
      <c r="J93" s="26" t="str">
        <f t="shared" si="24"/>
        <v/>
      </c>
      <c r="K93" s="24" t="str">
        <f t="shared" si="25"/>
        <v>미입력</v>
      </c>
    </row>
    <row r="94" spans="1:11" ht="17.25" customHeight="1">
      <c r="A94" s="27">
        <v>46355</v>
      </c>
      <c r="B94" s="28" t="s">
        <v>58</v>
      </c>
      <c r="C94" s="16"/>
      <c r="D94" s="16"/>
      <c r="E94" s="16"/>
      <c r="F94" s="29">
        <f t="shared" si="20"/>
        <v>50</v>
      </c>
      <c r="G94" s="30" t="str">
        <f t="shared" si="21"/>
        <v/>
      </c>
      <c r="H94" s="28" t="str">
        <f t="shared" si="22"/>
        <v>미입력</v>
      </c>
      <c r="I94" s="29">
        <f t="shared" si="23"/>
        <v>65</v>
      </c>
      <c r="J94" s="30" t="str">
        <f t="shared" si="24"/>
        <v/>
      </c>
      <c r="K94" s="28" t="str">
        <f t="shared" si="25"/>
        <v>미입력</v>
      </c>
    </row>
    <row r="95" spans="1:11" ht="17.25" customHeight="1">
      <c r="A95" s="14">
        <v>46356</v>
      </c>
      <c r="B95" s="15" t="s">
        <v>60</v>
      </c>
      <c r="C95" s="16"/>
      <c r="D95" s="16"/>
      <c r="E95" s="16"/>
      <c r="F95" s="17">
        <f t="shared" si="20"/>
        <v>50</v>
      </c>
      <c r="G95" s="18" t="str">
        <f t="shared" si="21"/>
        <v/>
      </c>
      <c r="H95" s="15" t="str">
        <f t="shared" si="22"/>
        <v>미입력</v>
      </c>
      <c r="I95" s="17">
        <f t="shared" si="23"/>
        <v>65</v>
      </c>
      <c r="J95" s="18" t="str">
        <f t="shared" si="24"/>
        <v/>
      </c>
      <c r="K95" s="15" t="str">
        <f t="shared" si="25"/>
        <v>미입력</v>
      </c>
    </row>
    <row r="96" spans="1:11" ht="17.25" customHeight="1">
      <c r="A96" s="14">
        <v>46357</v>
      </c>
      <c r="B96" s="15" t="s">
        <v>47</v>
      </c>
      <c r="C96" s="16"/>
      <c r="D96" s="16"/>
      <c r="E96" s="16"/>
      <c r="F96" s="17">
        <f t="shared" si="20"/>
        <v>50</v>
      </c>
      <c r="G96" s="18" t="str">
        <f t="shared" si="21"/>
        <v/>
      </c>
      <c r="H96" s="15" t="str">
        <f t="shared" si="22"/>
        <v>미입력</v>
      </c>
      <c r="I96" s="17">
        <f t="shared" si="23"/>
        <v>65</v>
      </c>
      <c r="J96" s="18" t="str">
        <f t="shared" si="24"/>
        <v/>
      </c>
      <c r="K96" s="15" t="str">
        <f t="shared" si="25"/>
        <v>미입력</v>
      </c>
    </row>
    <row r="97" spans="1:11" ht="17.25" customHeight="1">
      <c r="A97" s="14">
        <v>46358</v>
      </c>
      <c r="B97" s="15" t="s">
        <v>49</v>
      </c>
      <c r="C97" s="16"/>
      <c r="D97" s="16"/>
      <c r="E97" s="16"/>
      <c r="F97" s="17">
        <f t="shared" si="20"/>
        <v>50</v>
      </c>
      <c r="G97" s="18" t="str">
        <f t="shared" si="21"/>
        <v/>
      </c>
      <c r="H97" s="15" t="str">
        <f t="shared" si="22"/>
        <v>미입력</v>
      </c>
      <c r="I97" s="17">
        <f t="shared" si="23"/>
        <v>65</v>
      </c>
      <c r="J97" s="18" t="str">
        <f t="shared" si="24"/>
        <v/>
      </c>
      <c r="K97" s="15" t="str">
        <f t="shared" si="25"/>
        <v>미입력</v>
      </c>
    </row>
    <row r="98" spans="1:11" ht="17.25" customHeight="1">
      <c r="A98" s="14">
        <v>46359</v>
      </c>
      <c r="B98" s="15" t="s">
        <v>51</v>
      </c>
      <c r="C98" s="16"/>
      <c r="D98" s="16"/>
      <c r="E98" s="16"/>
      <c r="F98" s="17">
        <f t="shared" si="20"/>
        <v>50</v>
      </c>
      <c r="G98" s="18" t="str">
        <f t="shared" si="21"/>
        <v/>
      </c>
      <c r="H98" s="15" t="str">
        <f t="shared" si="22"/>
        <v>미입력</v>
      </c>
      <c r="I98" s="17">
        <f t="shared" si="23"/>
        <v>65</v>
      </c>
      <c r="J98" s="18" t="str">
        <f t="shared" si="24"/>
        <v/>
      </c>
      <c r="K98" s="15" t="str">
        <f t="shared" si="25"/>
        <v>미입력</v>
      </c>
    </row>
    <row r="99" spans="1:11" ht="17.25" customHeight="1">
      <c r="A99" s="14">
        <v>46360</v>
      </c>
      <c r="B99" s="15" t="s">
        <v>54</v>
      </c>
      <c r="C99" s="16"/>
      <c r="D99" s="16"/>
      <c r="E99" s="16"/>
      <c r="F99" s="17">
        <f t="shared" si="20"/>
        <v>50</v>
      </c>
      <c r="G99" s="18" t="str">
        <f t="shared" si="21"/>
        <v/>
      </c>
      <c r="H99" s="15" t="str">
        <f t="shared" si="22"/>
        <v>미입력</v>
      </c>
      <c r="I99" s="17">
        <f t="shared" si="23"/>
        <v>65</v>
      </c>
      <c r="J99" s="18" t="str">
        <f t="shared" si="24"/>
        <v/>
      </c>
      <c r="K99" s="15" t="str">
        <f t="shared" si="25"/>
        <v>미입력</v>
      </c>
    </row>
    <row r="100" spans="1:11" ht="17.25" customHeight="1">
      <c r="A100" s="23">
        <v>46361</v>
      </c>
      <c r="B100" s="24" t="s">
        <v>56</v>
      </c>
      <c r="C100" s="16"/>
      <c r="D100" s="16"/>
      <c r="E100" s="16"/>
      <c r="F100" s="25">
        <f t="shared" si="20"/>
        <v>50</v>
      </c>
      <c r="G100" s="26" t="str">
        <f t="shared" si="21"/>
        <v/>
      </c>
      <c r="H100" s="24" t="str">
        <f t="shared" si="22"/>
        <v>미입력</v>
      </c>
      <c r="I100" s="25">
        <f t="shared" si="23"/>
        <v>65</v>
      </c>
      <c r="J100" s="26" t="str">
        <f t="shared" si="24"/>
        <v/>
      </c>
      <c r="K100" s="24" t="str">
        <f t="shared" si="25"/>
        <v>미입력</v>
      </c>
    </row>
    <row r="101" spans="1:11" ht="17.25" customHeight="1">
      <c r="A101" s="27">
        <v>46362</v>
      </c>
      <c r="B101" s="28" t="s">
        <v>58</v>
      </c>
      <c r="C101" s="16"/>
      <c r="D101" s="16"/>
      <c r="E101" s="16"/>
      <c r="F101" s="29">
        <f t="shared" ref="F101:F126" si="26">IF(OR($E101="오전반차",$E101="오후반차"),$D$2/2,$D$2)</f>
        <v>50</v>
      </c>
      <c r="G101" s="30" t="str">
        <f t="shared" ref="G101:G126" si="27">IF($C101="","",$C101/$F101)</f>
        <v/>
      </c>
      <c r="H101" s="28" t="str">
        <f t="shared" ref="H101:H126" si="28">IF($C101="",IF($E101="","미입력",$E101),IF($C101&gt;=$F101,"달성","미달"))</f>
        <v>미입력</v>
      </c>
      <c r="I101" s="29">
        <f t="shared" ref="I101:I126" si="29">IF(OR($E101="오전반차",$E101="오후반차"),$F$2/2,$F$2)</f>
        <v>65</v>
      </c>
      <c r="J101" s="30" t="str">
        <f t="shared" ref="J101:J126" si="30">IF($D101="","",$D101/$I101)</f>
        <v/>
      </c>
      <c r="K101" s="28" t="str">
        <f t="shared" ref="K101:K126" si="31">IF($D101="",IF($E101="","미입력",$E101),IF($D101&gt;=$I101,"달성","미달"))</f>
        <v>미입력</v>
      </c>
    </row>
    <row r="102" spans="1:11" ht="17.25" customHeight="1">
      <c r="A102" s="14">
        <v>46363</v>
      </c>
      <c r="B102" s="15" t="s">
        <v>60</v>
      </c>
      <c r="C102" s="16"/>
      <c r="D102" s="16"/>
      <c r="E102" s="16"/>
      <c r="F102" s="17">
        <f t="shared" si="26"/>
        <v>50</v>
      </c>
      <c r="G102" s="18" t="str">
        <f t="shared" si="27"/>
        <v/>
      </c>
      <c r="H102" s="15" t="str">
        <f t="shared" si="28"/>
        <v>미입력</v>
      </c>
      <c r="I102" s="17">
        <f t="shared" si="29"/>
        <v>65</v>
      </c>
      <c r="J102" s="18" t="str">
        <f t="shared" si="30"/>
        <v/>
      </c>
      <c r="K102" s="15" t="str">
        <f t="shared" si="31"/>
        <v>미입력</v>
      </c>
    </row>
    <row r="103" spans="1:11" ht="17.25" customHeight="1">
      <c r="A103" s="14">
        <v>46364</v>
      </c>
      <c r="B103" s="15" t="s">
        <v>47</v>
      </c>
      <c r="C103" s="16"/>
      <c r="D103" s="16"/>
      <c r="E103" s="16"/>
      <c r="F103" s="17">
        <f t="shared" si="26"/>
        <v>50</v>
      </c>
      <c r="G103" s="18" t="str">
        <f t="shared" si="27"/>
        <v/>
      </c>
      <c r="H103" s="15" t="str">
        <f t="shared" si="28"/>
        <v>미입력</v>
      </c>
      <c r="I103" s="17">
        <f t="shared" si="29"/>
        <v>65</v>
      </c>
      <c r="J103" s="18" t="str">
        <f t="shared" si="30"/>
        <v/>
      </c>
      <c r="K103" s="15" t="str">
        <f t="shared" si="31"/>
        <v>미입력</v>
      </c>
    </row>
    <row r="104" spans="1:11" ht="17.25" customHeight="1">
      <c r="A104" s="14">
        <v>46365</v>
      </c>
      <c r="B104" s="15" t="s">
        <v>49</v>
      </c>
      <c r="C104" s="16"/>
      <c r="D104" s="16"/>
      <c r="E104" s="16"/>
      <c r="F104" s="17">
        <f t="shared" si="26"/>
        <v>50</v>
      </c>
      <c r="G104" s="18" t="str">
        <f t="shared" si="27"/>
        <v/>
      </c>
      <c r="H104" s="15" t="str">
        <f t="shared" si="28"/>
        <v>미입력</v>
      </c>
      <c r="I104" s="17">
        <f t="shared" si="29"/>
        <v>65</v>
      </c>
      <c r="J104" s="18" t="str">
        <f t="shared" si="30"/>
        <v/>
      </c>
      <c r="K104" s="15" t="str">
        <f t="shared" si="31"/>
        <v>미입력</v>
      </c>
    </row>
    <row r="105" spans="1:11" ht="17.25" customHeight="1">
      <c r="A105" s="14">
        <v>46366</v>
      </c>
      <c r="B105" s="15" t="s">
        <v>51</v>
      </c>
      <c r="C105" s="16"/>
      <c r="D105" s="16"/>
      <c r="E105" s="16"/>
      <c r="F105" s="17">
        <f t="shared" si="26"/>
        <v>50</v>
      </c>
      <c r="G105" s="18" t="str">
        <f t="shared" si="27"/>
        <v/>
      </c>
      <c r="H105" s="15" t="str">
        <f t="shared" si="28"/>
        <v>미입력</v>
      </c>
      <c r="I105" s="17">
        <f t="shared" si="29"/>
        <v>65</v>
      </c>
      <c r="J105" s="18" t="str">
        <f t="shared" si="30"/>
        <v/>
      </c>
      <c r="K105" s="15" t="str">
        <f t="shared" si="31"/>
        <v>미입력</v>
      </c>
    </row>
    <row r="106" spans="1:11" ht="17.25" customHeight="1">
      <c r="A106" s="14">
        <v>46367</v>
      </c>
      <c r="B106" s="15" t="s">
        <v>54</v>
      </c>
      <c r="C106" s="16"/>
      <c r="D106" s="16"/>
      <c r="E106" s="16"/>
      <c r="F106" s="17">
        <f t="shared" si="26"/>
        <v>50</v>
      </c>
      <c r="G106" s="18" t="str">
        <f t="shared" si="27"/>
        <v/>
      </c>
      <c r="H106" s="15" t="str">
        <f t="shared" si="28"/>
        <v>미입력</v>
      </c>
      <c r="I106" s="17">
        <f t="shared" si="29"/>
        <v>65</v>
      </c>
      <c r="J106" s="18" t="str">
        <f t="shared" si="30"/>
        <v/>
      </c>
      <c r="K106" s="15" t="str">
        <f t="shared" si="31"/>
        <v>미입력</v>
      </c>
    </row>
    <row r="107" spans="1:11" ht="17.25" customHeight="1">
      <c r="A107" s="23">
        <v>46368</v>
      </c>
      <c r="B107" s="24" t="s">
        <v>56</v>
      </c>
      <c r="C107" s="16"/>
      <c r="D107" s="16"/>
      <c r="E107" s="16"/>
      <c r="F107" s="25">
        <f t="shared" si="26"/>
        <v>50</v>
      </c>
      <c r="G107" s="26" t="str">
        <f t="shared" si="27"/>
        <v/>
      </c>
      <c r="H107" s="24" t="str">
        <f t="shared" si="28"/>
        <v>미입력</v>
      </c>
      <c r="I107" s="25">
        <f t="shared" si="29"/>
        <v>65</v>
      </c>
      <c r="J107" s="26" t="str">
        <f t="shared" si="30"/>
        <v/>
      </c>
      <c r="K107" s="24" t="str">
        <f t="shared" si="31"/>
        <v>미입력</v>
      </c>
    </row>
    <row r="108" spans="1:11" ht="17.25" customHeight="1">
      <c r="A108" s="27">
        <v>46369</v>
      </c>
      <c r="B108" s="28" t="s">
        <v>58</v>
      </c>
      <c r="C108" s="16"/>
      <c r="D108" s="16"/>
      <c r="E108" s="16"/>
      <c r="F108" s="29">
        <f t="shared" si="26"/>
        <v>50</v>
      </c>
      <c r="G108" s="30" t="str">
        <f t="shared" si="27"/>
        <v/>
      </c>
      <c r="H108" s="28" t="str">
        <f t="shared" si="28"/>
        <v>미입력</v>
      </c>
      <c r="I108" s="29">
        <f t="shared" si="29"/>
        <v>65</v>
      </c>
      <c r="J108" s="30" t="str">
        <f t="shared" si="30"/>
        <v/>
      </c>
      <c r="K108" s="28" t="str">
        <f t="shared" si="31"/>
        <v>미입력</v>
      </c>
    </row>
    <row r="109" spans="1:11" ht="17.25" customHeight="1">
      <c r="A109" s="14">
        <v>46370</v>
      </c>
      <c r="B109" s="15" t="s">
        <v>60</v>
      </c>
      <c r="C109" s="16"/>
      <c r="D109" s="16"/>
      <c r="E109" s="16"/>
      <c r="F109" s="17">
        <f t="shared" si="26"/>
        <v>50</v>
      </c>
      <c r="G109" s="18" t="str">
        <f t="shared" si="27"/>
        <v/>
      </c>
      <c r="H109" s="15" t="str">
        <f t="shared" si="28"/>
        <v>미입력</v>
      </c>
      <c r="I109" s="17">
        <f t="shared" si="29"/>
        <v>65</v>
      </c>
      <c r="J109" s="18" t="str">
        <f t="shared" si="30"/>
        <v/>
      </c>
      <c r="K109" s="15" t="str">
        <f t="shared" si="31"/>
        <v>미입력</v>
      </c>
    </row>
    <row r="110" spans="1:11" ht="17.25" customHeight="1">
      <c r="A110" s="14">
        <v>46371</v>
      </c>
      <c r="B110" s="15" t="s">
        <v>47</v>
      </c>
      <c r="C110" s="16"/>
      <c r="D110" s="16"/>
      <c r="E110" s="16"/>
      <c r="F110" s="17">
        <f t="shared" si="26"/>
        <v>50</v>
      </c>
      <c r="G110" s="18" t="str">
        <f t="shared" si="27"/>
        <v/>
      </c>
      <c r="H110" s="15" t="str">
        <f t="shared" si="28"/>
        <v>미입력</v>
      </c>
      <c r="I110" s="17">
        <f t="shared" si="29"/>
        <v>65</v>
      </c>
      <c r="J110" s="18" t="str">
        <f t="shared" si="30"/>
        <v/>
      </c>
      <c r="K110" s="15" t="str">
        <f t="shared" si="31"/>
        <v>미입력</v>
      </c>
    </row>
    <row r="111" spans="1:11" ht="17.25" customHeight="1">
      <c r="A111" s="14">
        <v>46372</v>
      </c>
      <c r="B111" s="15" t="s">
        <v>49</v>
      </c>
      <c r="C111" s="16"/>
      <c r="D111" s="16"/>
      <c r="E111" s="16"/>
      <c r="F111" s="17">
        <f t="shared" si="26"/>
        <v>50</v>
      </c>
      <c r="G111" s="18" t="str">
        <f t="shared" si="27"/>
        <v/>
      </c>
      <c r="H111" s="15" t="str">
        <f t="shared" si="28"/>
        <v>미입력</v>
      </c>
      <c r="I111" s="17">
        <f t="shared" si="29"/>
        <v>65</v>
      </c>
      <c r="J111" s="18" t="str">
        <f t="shared" si="30"/>
        <v/>
      </c>
      <c r="K111" s="15" t="str">
        <f t="shared" si="31"/>
        <v>미입력</v>
      </c>
    </row>
    <row r="112" spans="1:11" ht="17.25" customHeight="1">
      <c r="A112" s="14">
        <v>46373</v>
      </c>
      <c r="B112" s="15" t="s">
        <v>51</v>
      </c>
      <c r="C112" s="16"/>
      <c r="D112" s="16"/>
      <c r="E112" s="16"/>
      <c r="F112" s="17">
        <f t="shared" si="26"/>
        <v>50</v>
      </c>
      <c r="G112" s="18" t="str">
        <f t="shared" si="27"/>
        <v/>
      </c>
      <c r="H112" s="15" t="str">
        <f t="shared" si="28"/>
        <v>미입력</v>
      </c>
      <c r="I112" s="17">
        <f t="shared" si="29"/>
        <v>65</v>
      </c>
      <c r="J112" s="18" t="str">
        <f t="shared" si="30"/>
        <v/>
      </c>
      <c r="K112" s="15" t="str">
        <f t="shared" si="31"/>
        <v>미입력</v>
      </c>
    </row>
    <row r="113" spans="1:11" ht="17.25" customHeight="1">
      <c r="A113" s="14">
        <v>46374</v>
      </c>
      <c r="B113" s="15" t="s">
        <v>54</v>
      </c>
      <c r="C113" s="16"/>
      <c r="D113" s="16"/>
      <c r="E113" s="16"/>
      <c r="F113" s="17">
        <f t="shared" si="26"/>
        <v>50</v>
      </c>
      <c r="G113" s="18" t="str">
        <f t="shared" si="27"/>
        <v/>
      </c>
      <c r="H113" s="15" t="str">
        <f t="shared" si="28"/>
        <v>미입력</v>
      </c>
      <c r="I113" s="17">
        <f t="shared" si="29"/>
        <v>65</v>
      </c>
      <c r="J113" s="18" t="str">
        <f t="shared" si="30"/>
        <v/>
      </c>
      <c r="K113" s="15" t="str">
        <f t="shared" si="31"/>
        <v>미입력</v>
      </c>
    </row>
    <row r="114" spans="1:11" ht="17.25" customHeight="1">
      <c r="A114" s="23">
        <v>46375</v>
      </c>
      <c r="B114" s="24" t="s">
        <v>56</v>
      </c>
      <c r="C114" s="16"/>
      <c r="D114" s="16"/>
      <c r="E114" s="16"/>
      <c r="F114" s="25">
        <f t="shared" si="26"/>
        <v>50</v>
      </c>
      <c r="G114" s="26" t="str">
        <f t="shared" si="27"/>
        <v/>
      </c>
      <c r="H114" s="24" t="str">
        <f t="shared" si="28"/>
        <v>미입력</v>
      </c>
      <c r="I114" s="25">
        <f t="shared" si="29"/>
        <v>65</v>
      </c>
      <c r="J114" s="26" t="str">
        <f t="shared" si="30"/>
        <v/>
      </c>
      <c r="K114" s="24" t="str">
        <f t="shared" si="31"/>
        <v>미입력</v>
      </c>
    </row>
    <row r="115" spans="1:11" ht="17.25" customHeight="1">
      <c r="A115" s="27">
        <v>46376</v>
      </c>
      <c r="B115" s="28" t="s">
        <v>58</v>
      </c>
      <c r="C115" s="16"/>
      <c r="D115" s="16"/>
      <c r="E115" s="16"/>
      <c r="F115" s="29">
        <f t="shared" si="26"/>
        <v>50</v>
      </c>
      <c r="G115" s="30" t="str">
        <f t="shared" si="27"/>
        <v/>
      </c>
      <c r="H115" s="28" t="str">
        <f t="shared" si="28"/>
        <v>미입력</v>
      </c>
      <c r="I115" s="29">
        <f t="shared" si="29"/>
        <v>65</v>
      </c>
      <c r="J115" s="30" t="str">
        <f t="shared" si="30"/>
        <v/>
      </c>
      <c r="K115" s="28" t="str">
        <f t="shared" si="31"/>
        <v>미입력</v>
      </c>
    </row>
    <row r="116" spans="1:11" ht="17.25" customHeight="1">
      <c r="A116" s="14">
        <v>46377</v>
      </c>
      <c r="B116" s="15" t="s">
        <v>60</v>
      </c>
      <c r="C116" s="16"/>
      <c r="D116" s="16"/>
      <c r="E116" s="16"/>
      <c r="F116" s="17">
        <f t="shared" si="26"/>
        <v>50</v>
      </c>
      <c r="G116" s="18" t="str">
        <f t="shared" si="27"/>
        <v/>
      </c>
      <c r="H116" s="15" t="str">
        <f t="shared" si="28"/>
        <v>미입력</v>
      </c>
      <c r="I116" s="17">
        <f t="shared" si="29"/>
        <v>65</v>
      </c>
      <c r="J116" s="18" t="str">
        <f t="shared" si="30"/>
        <v/>
      </c>
      <c r="K116" s="15" t="str">
        <f t="shared" si="31"/>
        <v>미입력</v>
      </c>
    </row>
    <row r="117" spans="1:11" ht="17.25" customHeight="1">
      <c r="A117" s="14">
        <v>46378</v>
      </c>
      <c r="B117" s="15" t="s">
        <v>47</v>
      </c>
      <c r="C117" s="16"/>
      <c r="D117" s="16"/>
      <c r="E117" s="16"/>
      <c r="F117" s="17">
        <f t="shared" si="26"/>
        <v>50</v>
      </c>
      <c r="G117" s="18" t="str">
        <f t="shared" si="27"/>
        <v/>
      </c>
      <c r="H117" s="15" t="str">
        <f t="shared" si="28"/>
        <v>미입력</v>
      </c>
      <c r="I117" s="17">
        <f t="shared" si="29"/>
        <v>65</v>
      </c>
      <c r="J117" s="18" t="str">
        <f t="shared" si="30"/>
        <v/>
      </c>
      <c r="K117" s="15" t="str">
        <f t="shared" si="31"/>
        <v>미입력</v>
      </c>
    </row>
    <row r="118" spans="1:11" ht="17.25" customHeight="1">
      <c r="A118" s="14">
        <v>46379</v>
      </c>
      <c r="B118" s="15" t="s">
        <v>49</v>
      </c>
      <c r="C118" s="16"/>
      <c r="D118" s="16"/>
      <c r="E118" s="16"/>
      <c r="F118" s="17">
        <f t="shared" si="26"/>
        <v>50</v>
      </c>
      <c r="G118" s="18" t="str">
        <f t="shared" si="27"/>
        <v/>
      </c>
      <c r="H118" s="15" t="str">
        <f t="shared" si="28"/>
        <v>미입력</v>
      </c>
      <c r="I118" s="17">
        <f t="shared" si="29"/>
        <v>65</v>
      </c>
      <c r="J118" s="18" t="str">
        <f t="shared" si="30"/>
        <v/>
      </c>
      <c r="K118" s="15" t="str">
        <f t="shared" si="31"/>
        <v>미입력</v>
      </c>
    </row>
    <row r="119" spans="1:11" ht="17.25" customHeight="1">
      <c r="A119" s="14">
        <v>46380</v>
      </c>
      <c r="B119" s="15" t="s">
        <v>51</v>
      </c>
      <c r="C119" s="16"/>
      <c r="D119" s="16"/>
      <c r="E119" s="16"/>
      <c r="F119" s="17">
        <f t="shared" si="26"/>
        <v>50</v>
      </c>
      <c r="G119" s="18" t="str">
        <f t="shared" si="27"/>
        <v/>
      </c>
      <c r="H119" s="15" t="str">
        <f t="shared" si="28"/>
        <v>미입력</v>
      </c>
      <c r="I119" s="17">
        <f t="shared" si="29"/>
        <v>65</v>
      </c>
      <c r="J119" s="18" t="str">
        <f t="shared" si="30"/>
        <v/>
      </c>
      <c r="K119" s="15" t="str">
        <f t="shared" si="31"/>
        <v>미입력</v>
      </c>
    </row>
    <row r="120" spans="1:11" ht="17.25" customHeight="1">
      <c r="A120" s="14">
        <v>46381</v>
      </c>
      <c r="B120" s="15" t="s">
        <v>54</v>
      </c>
      <c r="C120" s="16"/>
      <c r="D120" s="16"/>
      <c r="E120" s="16"/>
      <c r="F120" s="17">
        <f t="shared" si="26"/>
        <v>50</v>
      </c>
      <c r="G120" s="18" t="str">
        <f t="shared" si="27"/>
        <v/>
      </c>
      <c r="H120" s="15" t="str">
        <f t="shared" si="28"/>
        <v>미입력</v>
      </c>
      <c r="I120" s="17">
        <f t="shared" si="29"/>
        <v>65</v>
      </c>
      <c r="J120" s="18" t="str">
        <f t="shared" si="30"/>
        <v/>
      </c>
      <c r="K120" s="15" t="str">
        <f t="shared" si="31"/>
        <v>미입력</v>
      </c>
    </row>
    <row r="121" spans="1:11" ht="17.25" customHeight="1">
      <c r="A121" s="23">
        <v>46382</v>
      </c>
      <c r="B121" s="24" t="s">
        <v>56</v>
      </c>
      <c r="C121" s="16"/>
      <c r="D121" s="16"/>
      <c r="E121" s="16"/>
      <c r="F121" s="25">
        <f t="shared" si="26"/>
        <v>50</v>
      </c>
      <c r="G121" s="26" t="str">
        <f t="shared" si="27"/>
        <v/>
      </c>
      <c r="H121" s="24" t="str">
        <f t="shared" si="28"/>
        <v>미입력</v>
      </c>
      <c r="I121" s="25">
        <f t="shared" si="29"/>
        <v>65</v>
      </c>
      <c r="J121" s="26" t="str">
        <f t="shared" si="30"/>
        <v/>
      </c>
      <c r="K121" s="24" t="str">
        <f t="shared" si="31"/>
        <v>미입력</v>
      </c>
    </row>
    <row r="122" spans="1:11" ht="17.25" customHeight="1">
      <c r="A122" s="27">
        <v>46383</v>
      </c>
      <c r="B122" s="28" t="s">
        <v>58</v>
      </c>
      <c r="C122" s="16"/>
      <c r="D122" s="16"/>
      <c r="E122" s="16"/>
      <c r="F122" s="29">
        <f t="shared" si="26"/>
        <v>50</v>
      </c>
      <c r="G122" s="30" t="str">
        <f t="shared" si="27"/>
        <v/>
      </c>
      <c r="H122" s="28" t="str">
        <f t="shared" si="28"/>
        <v>미입력</v>
      </c>
      <c r="I122" s="29">
        <f t="shared" si="29"/>
        <v>65</v>
      </c>
      <c r="J122" s="30" t="str">
        <f t="shared" si="30"/>
        <v/>
      </c>
      <c r="K122" s="28" t="str">
        <f t="shared" si="31"/>
        <v>미입력</v>
      </c>
    </row>
    <row r="123" spans="1:11" ht="17.25" customHeight="1">
      <c r="A123" s="14">
        <v>46384</v>
      </c>
      <c r="B123" s="15" t="s">
        <v>60</v>
      </c>
      <c r="C123" s="16"/>
      <c r="D123" s="16"/>
      <c r="E123" s="16"/>
      <c r="F123" s="17">
        <f t="shared" si="26"/>
        <v>50</v>
      </c>
      <c r="G123" s="18" t="str">
        <f t="shared" si="27"/>
        <v/>
      </c>
      <c r="H123" s="15" t="str">
        <f t="shared" si="28"/>
        <v>미입력</v>
      </c>
      <c r="I123" s="17">
        <f t="shared" si="29"/>
        <v>65</v>
      </c>
      <c r="J123" s="18" t="str">
        <f t="shared" si="30"/>
        <v/>
      </c>
      <c r="K123" s="15" t="str">
        <f t="shared" si="31"/>
        <v>미입력</v>
      </c>
    </row>
    <row r="124" spans="1:11" ht="17.25" customHeight="1">
      <c r="A124" s="14">
        <v>46385</v>
      </c>
      <c r="B124" s="15" t="s">
        <v>47</v>
      </c>
      <c r="C124" s="16"/>
      <c r="D124" s="16"/>
      <c r="E124" s="16"/>
      <c r="F124" s="17">
        <f t="shared" si="26"/>
        <v>50</v>
      </c>
      <c r="G124" s="18" t="str">
        <f t="shared" si="27"/>
        <v/>
      </c>
      <c r="H124" s="15" t="str">
        <f t="shared" si="28"/>
        <v>미입력</v>
      </c>
      <c r="I124" s="17">
        <f t="shared" si="29"/>
        <v>65</v>
      </c>
      <c r="J124" s="18" t="str">
        <f t="shared" si="30"/>
        <v/>
      </c>
      <c r="K124" s="15" t="str">
        <f t="shared" si="31"/>
        <v>미입력</v>
      </c>
    </row>
    <row r="125" spans="1:11" ht="17.25" customHeight="1">
      <c r="A125" s="14">
        <v>46386</v>
      </c>
      <c r="B125" s="15" t="s">
        <v>49</v>
      </c>
      <c r="C125" s="16"/>
      <c r="D125" s="16"/>
      <c r="E125" s="16"/>
      <c r="F125" s="17">
        <f t="shared" si="26"/>
        <v>50</v>
      </c>
      <c r="G125" s="18" t="str">
        <f t="shared" si="27"/>
        <v/>
      </c>
      <c r="H125" s="15" t="str">
        <f t="shared" si="28"/>
        <v>미입력</v>
      </c>
      <c r="I125" s="17">
        <f t="shared" si="29"/>
        <v>65</v>
      </c>
      <c r="J125" s="18" t="str">
        <f t="shared" si="30"/>
        <v/>
      </c>
      <c r="K125" s="15" t="str">
        <f t="shared" si="31"/>
        <v>미입력</v>
      </c>
    </row>
    <row r="126" spans="1:11" ht="17.25" customHeight="1">
      <c r="A126" s="14">
        <v>46387</v>
      </c>
      <c r="B126" s="15" t="s">
        <v>51</v>
      </c>
      <c r="C126" s="16"/>
      <c r="D126" s="16"/>
      <c r="E126" s="16"/>
      <c r="F126" s="17">
        <f t="shared" si="26"/>
        <v>50</v>
      </c>
      <c r="G126" s="18" t="str">
        <f t="shared" si="27"/>
        <v/>
      </c>
      <c r="H126" s="15" t="str">
        <f t="shared" si="28"/>
        <v>미입력</v>
      </c>
      <c r="I126" s="17">
        <f t="shared" si="29"/>
        <v>65</v>
      </c>
      <c r="J126" s="18" t="str">
        <f t="shared" si="30"/>
        <v/>
      </c>
      <c r="K126" s="15" t="str">
        <f t="shared" si="31"/>
        <v>미입력</v>
      </c>
    </row>
  </sheetData>
  <mergeCells count="5">
    <mergeCell ref="A1:K1"/>
    <mergeCell ref="M1:X1"/>
    <mergeCell ref="H2:K2"/>
    <mergeCell ref="A3:K3"/>
    <mergeCell ref="M3:X3"/>
  </mergeCells>
  <phoneticPr fontId="19" type="noConversion"/>
  <conditionalFormatting sqref="A5:B126">
    <cfRule type="expression" dxfId="54" priority="14">
      <formula>$A5=TODAY()</formula>
    </cfRule>
  </conditionalFormatting>
  <conditionalFormatting sqref="H5:H126">
    <cfRule type="expression" dxfId="53" priority="2">
      <formula>H5="달성"</formula>
    </cfRule>
    <cfRule type="expression" dxfId="52" priority="3">
      <formula>H5="미달"</formula>
    </cfRule>
    <cfRule type="expression" dxfId="51" priority="4">
      <formula>H5="미입력"</formula>
    </cfRule>
  </conditionalFormatting>
  <conditionalFormatting sqref="K5:K126">
    <cfRule type="expression" dxfId="50" priority="5">
      <formula>K5="달성"</formula>
    </cfRule>
    <cfRule type="expression" dxfId="49" priority="6">
      <formula>K5="미달"</formula>
    </cfRule>
    <cfRule type="expression" dxfId="48" priority="7">
      <formula>K5="미입력"</formula>
    </cfRule>
  </conditionalFormatting>
  <conditionalFormatting sqref="S5:S24">
    <cfRule type="expression" dxfId="47" priority="8">
      <formula>S5="달성"</formula>
    </cfRule>
    <cfRule type="expression" dxfId="46" priority="9">
      <formula>S5="미달"</formula>
    </cfRule>
    <cfRule type="expression" dxfId="45" priority="10">
      <formula>S5="미입력"</formula>
    </cfRule>
  </conditionalFormatting>
  <conditionalFormatting sqref="W5:W24">
    <cfRule type="expression" dxfId="44" priority="11">
      <formula>W5="달성"</formula>
    </cfRule>
    <cfRule type="expression" dxfId="43" priority="12">
      <formula>W5="미달"</formula>
    </cfRule>
    <cfRule type="expression" dxfId="42" priority="13">
      <formula>W5="미입력"</formula>
    </cfRule>
  </conditionalFormatting>
  <dataValidations count="1">
    <dataValidation type="list" allowBlank="1" sqref="E5:E126" xr:uid="{00000000-0002-0000-0300-000000000000}">
      <formula1>"휴무,연차,오전반차,오후반차,입사전,기타"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X126"/>
  <sheetViews>
    <sheetView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X10" sqref="X10"/>
    </sheetView>
  </sheetViews>
  <sheetFormatPr defaultColWidth="8.7109375" defaultRowHeight="18" customHeight="1"/>
  <cols>
    <col min="1" max="1" width="12" customWidth="1"/>
    <col min="2" max="2" width="6" customWidth="1"/>
    <col min="3" max="6" width="10" customWidth="1"/>
    <col min="7" max="7" width="11" customWidth="1"/>
    <col min="8" max="8" width="13" customWidth="1"/>
    <col min="9" max="9" width="10" customWidth="1"/>
    <col min="10" max="10" width="11" customWidth="1"/>
    <col min="11" max="11" width="13" customWidth="1"/>
    <col min="12" max="12" width="2" customWidth="1"/>
    <col min="13" max="13" width="11" customWidth="1"/>
    <col min="14" max="15" width="9" customWidth="1"/>
    <col min="16" max="16" width="10" customWidth="1"/>
    <col min="17" max="17" width="13" customWidth="1"/>
    <col min="18" max="18" width="11" customWidth="1"/>
    <col min="19" max="19" width="13" customWidth="1"/>
    <col min="20" max="20" width="10" customWidth="1"/>
    <col min="21" max="21" width="13" customWidth="1"/>
    <col min="22" max="22" width="11" customWidth="1"/>
    <col min="23" max="23" width="13" customWidth="1"/>
    <col min="24" max="24" width="60" customWidth="1"/>
  </cols>
  <sheetData>
    <row r="1" spans="1:24" ht="18" customHeight="1">
      <c r="A1" s="57" t="s">
        <v>82</v>
      </c>
      <c r="B1" s="57"/>
      <c r="C1" s="57"/>
      <c r="D1" s="57"/>
      <c r="E1" s="57"/>
      <c r="F1" s="57"/>
      <c r="G1" s="57"/>
      <c r="H1" s="57"/>
      <c r="I1" s="57"/>
      <c r="J1" s="57"/>
      <c r="K1" s="57"/>
      <c r="M1" s="58" t="s">
        <v>83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8" customHeight="1">
      <c r="A2" s="10" t="s">
        <v>26</v>
      </c>
      <c r="B2" s="11" t="s">
        <v>84</v>
      </c>
      <c r="C2" s="10" t="s">
        <v>28</v>
      </c>
      <c r="D2" s="11">
        <v>45</v>
      </c>
      <c r="E2" s="10" t="s">
        <v>29</v>
      </c>
      <c r="F2" s="11">
        <v>60</v>
      </c>
      <c r="G2" s="12"/>
      <c r="H2" s="59"/>
      <c r="I2" s="59"/>
      <c r="J2" s="59"/>
      <c r="K2" s="59"/>
    </row>
    <row r="3" spans="1:24" ht="18" customHeight="1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s="60" t="s">
        <v>31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8" customHeight="1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28</v>
      </c>
      <c r="G4" s="10" t="s">
        <v>37</v>
      </c>
      <c r="H4" s="10" t="s">
        <v>38</v>
      </c>
      <c r="I4" s="10" t="s">
        <v>29</v>
      </c>
      <c r="J4" s="10" t="s">
        <v>39</v>
      </c>
      <c r="K4" s="10" t="s">
        <v>40</v>
      </c>
      <c r="M4" s="13" t="s">
        <v>41</v>
      </c>
      <c r="N4" s="13" t="s">
        <v>42</v>
      </c>
      <c r="O4" s="13" t="s">
        <v>43</v>
      </c>
      <c r="P4" s="13" t="s">
        <v>28</v>
      </c>
      <c r="Q4" s="13" t="s">
        <v>44</v>
      </c>
      <c r="R4" s="13" t="s">
        <v>37</v>
      </c>
      <c r="S4" s="13" t="s">
        <v>38</v>
      </c>
      <c r="T4" s="13" t="s">
        <v>29</v>
      </c>
      <c r="U4" s="13" t="s">
        <v>45</v>
      </c>
      <c r="V4" s="13" t="s">
        <v>39</v>
      </c>
      <c r="W4" s="13" t="s">
        <v>40</v>
      </c>
      <c r="X4" s="13" t="s">
        <v>46</v>
      </c>
    </row>
    <row r="5" spans="1:24" ht="18" customHeight="1">
      <c r="A5" s="14">
        <v>46266</v>
      </c>
      <c r="B5" s="15" t="s">
        <v>47</v>
      </c>
      <c r="C5" s="16"/>
      <c r="D5" s="16"/>
      <c r="E5" s="22" t="s">
        <v>52</v>
      </c>
      <c r="F5" s="17">
        <f t="shared" ref="F5:F36" si="0">IF(OR($E5="오전반차",$E5="오후반차"),$D$2/2,$D$2)</f>
        <v>45</v>
      </c>
      <c r="G5" s="18" t="str">
        <f t="shared" ref="G5:G36" si="1">IF($C5="","",$C5/$F5)</f>
        <v/>
      </c>
      <c r="H5" s="15" t="str">
        <f t="shared" ref="H5:H36" si="2">IF($C5="",IF($E5="","미입력",$E5),IF($C5&gt;=$F5,"달성","미달"))</f>
        <v>휴무</v>
      </c>
      <c r="I5" s="17">
        <f t="shared" ref="I5:I36" si="3">IF(OR($E5="오전반차",$E5="오후반차"),$F$2/2,$F$2)</f>
        <v>60</v>
      </c>
      <c r="J5" s="18" t="str">
        <f t="shared" ref="J5:J36" si="4">IF($D5="","",$D5/$I5)</f>
        <v/>
      </c>
      <c r="K5" s="15" t="str">
        <f t="shared" ref="K5:K36" si="5">IF($D5="",IF($E5="","미입력",$E5),IF($D5&gt;=$I5,"달성","미달"))</f>
        <v>휴무</v>
      </c>
      <c r="M5" s="1" t="s">
        <v>48</v>
      </c>
      <c r="N5" s="19">
        <v>46266</v>
      </c>
      <c r="O5" s="19">
        <v>46271</v>
      </c>
      <c r="P5" s="17">
        <f t="shared" ref="P5:P24" si="6">IFERROR(SUMPRODUCT(($A$5:$A$126&gt;=$N5)*($A$5:$A$126&lt;=$O5)*ISNUMBER($C$5:$C$126)*$F$5:$F$126)/SUMPRODUCT(($A$5:$A$126&gt;=$N5)*($A$5:$A$126&lt;=$O5)*ISNUMBER($C$5:$C$126)),"")</f>
        <v>45</v>
      </c>
      <c r="Q5" s="20">
        <f t="shared" ref="Q5:Q24" si="7">IFERROR(AVERAGEIFS($C$5:$C$126,$A$5:$A$126,"&gt;="&amp;$N5,$A$5:$A$126,"&lt;="&amp;$O5),"")</f>
        <v>41.4</v>
      </c>
      <c r="R5" s="18">
        <f t="shared" ref="R5:R24" si="8">IF(OR($Q5="",$P5=""),"",$Q5/$P5)</f>
        <v>0.91999999999999993</v>
      </c>
      <c r="S5" s="15" t="str">
        <f t="shared" ref="S5:S24" si="9">IF(OR($Q5="",$P5=""),"미입력",IF($Q5&gt;=$P5,"달성","미달"))</f>
        <v>미달</v>
      </c>
      <c r="T5" s="17">
        <f t="shared" ref="T5:T24" si="10">IFERROR(SUMPRODUCT(($A$5:$A$126&gt;=$N5)*($A$5:$A$126&lt;=$O5)*ISNUMBER($D$5:$D$126)*$I$5:$I$126)/SUMPRODUCT(($A$5:$A$126&gt;=$N5)*($A$5:$A$126&lt;=$O5)*ISNUMBER($D$5:$D$126)),"")</f>
        <v>60</v>
      </c>
      <c r="U5" s="20">
        <f t="shared" ref="U5:U24" si="11">IFERROR(AVERAGEIFS($D$5:$D$126,$A$5:$A$126,"&gt;="&amp;$N5,$A$5:$A$126,"&lt;="&amp;$O5),"")</f>
        <v>63</v>
      </c>
      <c r="V5" s="18">
        <f t="shared" ref="V5:V24" si="12">IF(OR($U5="",$T5=""),"",$U5/$T5)</f>
        <v>1.05</v>
      </c>
      <c r="W5" s="15" t="str">
        <f t="shared" ref="W5:W24" si="13">IF(OR($U5="",$T5=""),"미입력",IF($U5&gt;=$T5,"달성","미달"))</f>
        <v>달성</v>
      </c>
      <c r="X5" s="31" t="s">
        <v>85</v>
      </c>
    </row>
    <row r="6" spans="1:24" ht="18" customHeight="1">
      <c r="A6" s="14">
        <v>46267</v>
      </c>
      <c r="B6" s="15" t="s">
        <v>49</v>
      </c>
      <c r="C6" s="16">
        <v>40</v>
      </c>
      <c r="D6" s="16">
        <v>50</v>
      </c>
      <c r="E6" s="22"/>
      <c r="F6" s="17">
        <f t="shared" si="0"/>
        <v>45</v>
      </c>
      <c r="G6" s="18">
        <f t="shared" si="1"/>
        <v>0.88888888888888884</v>
      </c>
      <c r="H6" s="15" t="str">
        <f t="shared" si="2"/>
        <v>미달</v>
      </c>
      <c r="I6" s="17">
        <f t="shared" si="3"/>
        <v>60</v>
      </c>
      <c r="J6" s="18">
        <f t="shared" si="4"/>
        <v>0.83333333333333337</v>
      </c>
      <c r="K6" s="15" t="str">
        <f t="shared" si="5"/>
        <v>미달</v>
      </c>
      <c r="M6" s="1" t="s">
        <v>50</v>
      </c>
      <c r="N6" s="19">
        <v>46272</v>
      </c>
      <c r="O6" s="19">
        <v>46278</v>
      </c>
      <c r="P6" s="17">
        <f t="shared" si="6"/>
        <v>45</v>
      </c>
      <c r="Q6" s="20">
        <f t="shared" si="7"/>
        <v>47.333333333333336</v>
      </c>
      <c r="R6" s="18">
        <f t="shared" si="8"/>
        <v>1.0518518518518518</v>
      </c>
      <c r="S6" s="15" t="str">
        <f t="shared" si="9"/>
        <v>달성</v>
      </c>
      <c r="T6" s="17">
        <f t="shared" si="10"/>
        <v>60</v>
      </c>
      <c r="U6" s="20">
        <f t="shared" si="11"/>
        <v>69.666666666666671</v>
      </c>
      <c r="V6" s="18">
        <f t="shared" si="12"/>
        <v>1.1611111111111112</v>
      </c>
      <c r="W6" s="15" t="str">
        <f t="shared" si="13"/>
        <v>달성</v>
      </c>
      <c r="X6" s="31" t="s">
        <v>86</v>
      </c>
    </row>
    <row r="7" spans="1:24" ht="18" customHeight="1">
      <c r="A7" s="14">
        <v>46268</v>
      </c>
      <c r="B7" s="15" t="s">
        <v>51</v>
      </c>
      <c r="C7" s="16">
        <v>37</v>
      </c>
      <c r="D7" s="16">
        <v>77</v>
      </c>
      <c r="E7" s="22"/>
      <c r="F7" s="17">
        <f t="shared" si="0"/>
        <v>45</v>
      </c>
      <c r="G7" s="18">
        <f t="shared" si="1"/>
        <v>0.82222222222222219</v>
      </c>
      <c r="H7" s="15" t="str">
        <f t="shared" si="2"/>
        <v>미달</v>
      </c>
      <c r="I7" s="17">
        <f t="shared" si="3"/>
        <v>60</v>
      </c>
      <c r="J7" s="18">
        <f t="shared" si="4"/>
        <v>1.2833333333333334</v>
      </c>
      <c r="K7" s="15" t="str">
        <f t="shared" si="5"/>
        <v>달성</v>
      </c>
      <c r="M7" s="1" t="s">
        <v>53</v>
      </c>
      <c r="N7" s="19">
        <v>46279</v>
      </c>
      <c r="O7" s="19">
        <v>46285</v>
      </c>
      <c r="P7" s="17">
        <f t="shared" si="6"/>
        <v>45</v>
      </c>
      <c r="Q7" s="20">
        <f t="shared" si="7"/>
        <v>40</v>
      </c>
      <c r="R7" s="18">
        <f t="shared" si="8"/>
        <v>0.88888888888888884</v>
      </c>
      <c r="S7" s="15" t="str">
        <f t="shared" si="9"/>
        <v>미달</v>
      </c>
      <c r="T7" s="17">
        <f t="shared" si="10"/>
        <v>60</v>
      </c>
      <c r="U7" s="20">
        <f t="shared" si="11"/>
        <v>53.5</v>
      </c>
      <c r="V7" s="18">
        <f t="shared" si="12"/>
        <v>0.89166666666666672</v>
      </c>
      <c r="W7" s="15" t="str">
        <f t="shared" si="13"/>
        <v>미달</v>
      </c>
      <c r="X7" s="31" t="s">
        <v>87</v>
      </c>
    </row>
    <row r="8" spans="1:24" ht="18" customHeight="1">
      <c r="A8" s="14">
        <v>46269</v>
      </c>
      <c r="B8" s="15" t="s">
        <v>54</v>
      </c>
      <c r="C8" s="16">
        <v>70</v>
      </c>
      <c r="D8" s="16">
        <v>87</v>
      </c>
      <c r="E8" s="22"/>
      <c r="F8" s="17">
        <f t="shared" si="0"/>
        <v>45</v>
      </c>
      <c r="G8" s="18">
        <f t="shared" si="1"/>
        <v>1.5555555555555556</v>
      </c>
      <c r="H8" s="15" t="str">
        <f t="shared" si="2"/>
        <v>달성</v>
      </c>
      <c r="I8" s="17">
        <f t="shared" si="3"/>
        <v>60</v>
      </c>
      <c r="J8" s="18">
        <f t="shared" si="4"/>
        <v>1.45</v>
      </c>
      <c r="K8" s="15" t="str">
        <f t="shared" si="5"/>
        <v>달성</v>
      </c>
      <c r="M8" s="1" t="s">
        <v>55</v>
      </c>
      <c r="N8" s="19">
        <v>46286</v>
      </c>
      <c r="O8" s="19">
        <v>46292</v>
      </c>
      <c r="P8" s="17">
        <f t="shared" si="6"/>
        <v>45</v>
      </c>
      <c r="Q8" s="20">
        <f t="shared" si="7"/>
        <v>26.8</v>
      </c>
      <c r="R8" s="18">
        <f t="shared" si="8"/>
        <v>0.59555555555555562</v>
      </c>
      <c r="S8" s="15" t="str">
        <f t="shared" si="9"/>
        <v>미달</v>
      </c>
      <c r="T8" s="17">
        <f t="shared" si="10"/>
        <v>60</v>
      </c>
      <c r="U8" s="20">
        <f t="shared" si="11"/>
        <v>43.4</v>
      </c>
      <c r="V8" s="18">
        <f t="shared" si="12"/>
        <v>0.72333333333333327</v>
      </c>
      <c r="W8" s="15" t="str">
        <f t="shared" si="13"/>
        <v>미달</v>
      </c>
      <c r="X8" s="21" t="s">
        <v>130</v>
      </c>
    </row>
    <row r="9" spans="1:24" ht="18" customHeight="1">
      <c r="A9" s="23">
        <v>46270</v>
      </c>
      <c r="B9" s="24" t="s">
        <v>56</v>
      </c>
      <c r="C9" s="16">
        <v>31</v>
      </c>
      <c r="D9" s="16">
        <v>52</v>
      </c>
      <c r="E9" s="22"/>
      <c r="F9" s="25">
        <f t="shared" si="0"/>
        <v>45</v>
      </c>
      <c r="G9" s="26">
        <f t="shared" si="1"/>
        <v>0.68888888888888888</v>
      </c>
      <c r="H9" s="24" t="str">
        <f t="shared" si="2"/>
        <v>미달</v>
      </c>
      <c r="I9" s="25">
        <f t="shared" si="3"/>
        <v>60</v>
      </c>
      <c r="J9" s="26">
        <f t="shared" si="4"/>
        <v>0.8666666666666667</v>
      </c>
      <c r="K9" s="24" t="str">
        <f t="shared" si="5"/>
        <v>미달</v>
      </c>
      <c r="M9" s="1" t="s">
        <v>57</v>
      </c>
      <c r="N9" s="19">
        <v>46293</v>
      </c>
      <c r="O9" s="19">
        <v>46299</v>
      </c>
      <c r="P9" s="17">
        <f t="shared" si="6"/>
        <v>45</v>
      </c>
      <c r="Q9" s="20">
        <f t="shared" si="7"/>
        <v>37.6</v>
      </c>
      <c r="R9" s="18">
        <f t="shared" si="8"/>
        <v>0.83555555555555561</v>
      </c>
      <c r="S9" s="15" t="str">
        <f t="shared" si="9"/>
        <v>미달</v>
      </c>
      <c r="T9" s="17">
        <f t="shared" si="10"/>
        <v>60</v>
      </c>
      <c r="U9" s="20">
        <f t="shared" si="11"/>
        <v>63.6</v>
      </c>
      <c r="V9" s="18">
        <f t="shared" si="12"/>
        <v>1.06</v>
      </c>
      <c r="W9" s="15" t="str">
        <f t="shared" si="13"/>
        <v>달성</v>
      </c>
      <c r="X9" s="21" t="s">
        <v>144</v>
      </c>
    </row>
    <row r="10" spans="1:24" ht="18" customHeight="1">
      <c r="A10" s="27">
        <v>46271</v>
      </c>
      <c r="B10" s="28" t="s">
        <v>58</v>
      </c>
      <c r="C10" s="16">
        <v>29</v>
      </c>
      <c r="D10" s="16">
        <v>49</v>
      </c>
      <c r="E10" s="22"/>
      <c r="F10" s="29">
        <f t="shared" si="0"/>
        <v>45</v>
      </c>
      <c r="G10" s="30">
        <f t="shared" si="1"/>
        <v>0.64444444444444449</v>
      </c>
      <c r="H10" s="28" t="str">
        <f t="shared" si="2"/>
        <v>미달</v>
      </c>
      <c r="I10" s="29">
        <f t="shared" si="3"/>
        <v>60</v>
      </c>
      <c r="J10" s="30">
        <f t="shared" si="4"/>
        <v>0.81666666666666665</v>
      </c>
      <c r="K10" s="28" t="str">
        <f t="shared" si="5"/>
        <v>미달</v>
      </c>
      <c r="M10" s="1" t="s">
        <v>136</v>
      </c>
      <c r="N10" s="19">
        <v>46300</v>
      </c>
      <c r="O10" s="19">
        <v>46306</v>
      </c>
      <c r="P10" s="17" t="str">
        <f t="shared" si="6"/>
        <v/>
      </c>
      <c r="Q10" s="20" t="str">
        <f t="shared" si="7"/>
        <v/>
      </c>
      <c r="R10" s="18" t="str">
        <f t="shared" si="8"/>
        <v/>
      </c>
      <c r="S10" s="15" t="str">
        <f t="shared" si="9"/>
        <v>미입력</v>
      </c>
      <c r="T10" s="17" t="str">
        <f t="shared" si="10"/>
        <v/>
      </c>
      <c r="U10" s="20" t="str">
        <f t="shared" si="11"/>
        <v/>
      </c>
      <c r="V10" s="18" t="str">
        <f t="shared" si="12"/>
        <v/>
      </c>
      <c r="W10" s="15" t="str">
        <f t="shared" si="13"/>
        <v>미입력</v>
      </c>
      <c r="X10" s="21"/>
    </row>
    <row r="11" spans="1:24" ht="18" customHeight="1">
      <c r="A11" s="14">
        <v>46272</v>
      </c>
      <c r="B11" s="15" t="s">
        <v>60</v>
      </c>
      <c r="C11" s="16">
        <v>47</v>
      </c>
      <c r="D11" s="16">
        <v>85</v>
      </c>
      <c r="E11" s="22"/>
      <c r="F11" s="17">
        <f t="shared" si="0"/>
        <v>45</v>
      </c>
      <c r="G11" s="18">
        <f t="shared" si="1"/>
        <v>1.0444444444444445</v>
      </c>
      <c r="H11" s="15" t="str">
        <f t="shared" si="2"/>
        <v>달성</v>
      </c>
      <c r="I11" s="17">
        <f t="shared" si="3"/>
        <v>60</v>
      </c>
      <c r="J11" s="18">
        <f t="shared" si="4"/>
        <v>1.4166666666666667</v>
      </c>
      <c r="K11" s="15" t="str">
        <f t="shared" si="5"/>
        <v>달성</v>
      </c>
      <c r="M11" s="1" t="s">
        <v>137</v>
      </c>
      <c r="N11" s="19">
        <v>46302</v>
      </c>
      <c r="O11" s="19">
        <v>46308</v>
      </c>
      <c r="P11" s="17" t="str">
        <f t="shared" si="6"/>
        <v/>
      </c>
      <c r="Q11" s="20" t="str">
        <f t="shared" si="7"/>
        <v/>
      </c>
      <c r="R11" s="18" t="str">
        <f t="shared" si="8"/>
        <v/>
      </c>
      <c r="S11" s="15" t="str">
        <f t="shared" si="9"/>
        <v>미입력</v>
      </c>
      <c r="T11" s="17" t="str">
        <f t="shared" si="10"/>
        <v/>
      </c>
      <c r="U11" s="20" t="str">
        <f t="shared" si="11"/>
        <v/>
      </c>
      <c r="V11" s="18" t="str">
        <f t="shared" si="12"/>
        <v/>
      </c>
      <c r="W11" s="15" t="str">
        <f t="shared" si="13"/>
        <v>미입력</v>
      </c>
      <c r="X11" s="21"/>
    </row>
    <row r="12" spans="1:24" ht="18" customHeight="1">
      <c r="A12" s="14">
        <v>46273</v>
      </c>
      <c r="B12" s="15" t="s">
        <v>47</v>
      </c>
      <c r="C12" s="16"/>
      <c r="D12" s="16"/>
      <c r="E12" s="22" t="s">
        <v>52</v>
      </c>
      <c r="F12" s="17">
        <f t="shared" si="0"/>
        <v>45</v>
      </c>
      <c r="G12" s="18" t="str">
        <f t="shared" si="1"/>
        <v/>
      </c>
      <c r="H12" s="15" t="str">
        <f t="shared" si="2"/>
        <v>휴무</v>
      </c>
      <c r="I12" s="17">
        <f t="shared" si="3"/>
        <v>60</v>
      </c>
      <c r="J12" s="18" t="str">
        <f t="shared" si="4"/>
        <v/>
      </c>
      <c r="K12" s="15" t="str">
        <f t="shared" si="5"/>
        <v>휴무</v>
      </c>
      <c r="M12" s="1" t="s">
        <v>138</v>
      </c>
      <c r="N12" s="19">
        <v>46309</v>
      </c>
      <c r="O12" s="19">
        <v>46315</v>
      </c>
      <c r="P12" s="17" t="str">
        <f t="shared" si="6"/>
        <v/>
      </c>
      <c r="Q12" s="20" t="str">
        <f t="shared" si="7"/>
        <v/>
      </c>
      <c r="R12" s="18" t="str">
        <f t="shared" si="8"/>
        <v/>
      </c>
      <c r="S12" s="15" t="str">
        <f t="shared" si="9"/>
        <v>미입력</v>
      </c>
      <c r="T12" s="17" t="str">
        <f t="shared" si="10"/>
        <v/>
      </c>
      <c r="U12" s="20" t="str">
        <f t="shared" si="11"/>
        <v/>
      </c>
      <c r="V12" s="18" t="str">
        <f t="shared" si="12"/>
        <v/>
      </c>
      <c r="W12" s="15" t="str">
        <f t="shared" si="13"/>
        <v>미입력</v>
      </c>
      <c r="X12" s="21"/>
    </row>
    <row r="13" spans="1:24" ht="18" customHeight="1">
      <c r="A13" s="14">
        <v>46274</v>
      </c>
      <c r="B13" s="15" t="s">
        <v>49</v>
      </c>
      <c r="C13" s="16">
        <v>30</v>
      </c>
      <c r="D13" s="16">
        <v>69</v>
      </c>
      <c r="E13" s="22"/>
      <c r="F13" s="17">
        <f t="shared" si="0"/>
        <v>45</v>
      </c>
      <c r="G13" s="18">
        <f t="shared" si="1"/>
        <v>0.66666666666666663</v>
      </c>
      <c r="H13" s="15" t="str">
        <f t="shared" si="2"/>
        <v>미달</v>
      </c>
      <c r="I13" s="17">
        <f t="shared" si="3"/>
        <v>60</v>
      </c>
      <c r="J13" s="18">
        <f t="shared" si="4"/>
        <v>1.1499999999999999</v>
      </c>
      <c r="K13" s="15" t="str">
        <f t="shared" si="5"/>
        <v>달성</v>
      </c>
      <c r="M13" s="1" t="s">
        <v>139</v>
      </c>
      <c r="N13" s="19">
        <v>46316</v>
      </c>
      <c r="O13" s="19">
        <v>46322</v>
      </c>
      <c r="P13" s="17" t="str">
        <f t="shared" si="6"/>
        <v/>
      </c>
      <c r="Q13" s="20" t="str">
        <f t="shared" si="7"/>
        <v/>
      </c>
      <c r="R13" s="18" t="str">
        <f t="shared" si="8"/>
        <v/>
      </c>
      <c r="S13" s="15" t="str">
        <f t="shared" si="9"/>
        <v>미입력</v>
      </c>
      <c r="T13" s="17" t="str">
        <f t="shared" si="10"/>
        <v/>
      </c>
      <c r="U13" s="20" t="str">
        <f t="shared" si="11"/>
        <v/>
      </c>
      <c r="V13" s="18" t="str">
        <f t="shared" si="12"/>
        <v/>
      </c>
      <c r="W13" s="15" t="str">
        <f t="shared" si="13"/>
        <v>미입력</v>
      </c>
      <c r="X13" s="21"/>
    </row>
    <row r="14" spans="1:24" ht="18" customHeight="1">
      <c r="A14" s="14">
        <v>46275</v>
      </c>
      <c r="B14" s="15" t="s">
        <v>51</v>
      </c>
      <c r="C14" s="16">
        <v>50</v>
      </c>
      <c r="D14" s="16">
        <v>75</v>
      </c>
      <c r="E14" s="22"/>
      <c r="F14" s="17">
        <f t="shared" si="0"/>
        <v>45</v>
      </c>
      <c r="G14" s="18">
        <f t="shared" si="1"/>
        <v>1.1111111111111112</v>
      </c>
      <c r="H14" s="15" t="str">
        <f t="shared" si="2"/>
        <v>달성</v>
      </c>
      <c r="I14" s="17">
        <f t="shared" si="3"/>
        <v>60</v>
      </c>
      <c r="J14" s="18">
        <f t="shared" si="4"/>
        <v>1.25</v>
      </c>
      <c r="K14" s="15" t="str">
        <f t="shared" si="5"/>
        <v>달성</v>
      </c>
      <c r="M14" s="1"/>
      <c r="N14" s="19">
        <v>46323</v>
      </c>
      <c r="O14" s="19">
        <v>46326</v>
      </c>
      <c r="P14" s="17" t="str">
        <f t="shared" si="6"/>
        <v/>
      </c>
      <c r="Q14" s="20" t="str">
        <f t="shared" si="7"/>
        <v/>
      </c>
      <c r="R14" s="18" t="str">
        <f t="shared" si="8"/>
        <v/>
      </c>
      <c r="S14" s="15" t="str">
        <f t="shared" si="9"/>
        <v>미입력</v>
      </c>
      <c r="T14" s="17" t="str">
        <f t="shared" si="10"/>
        <v/>
      </c>
      <c r="U14" s="20" t="str">
        <f t="shared" si="11"/>
        <v/>
      </c>
      <c r="V14" s="18" t="str">
        <f t="shared" si="12"/>
        <v/>
      </c>
      <c r="W14" s="15" t="str">
        <f t="shared" si="13"/>
        <v>미입력</v>
      </c>
      <c r="X14" s="21"/>
    </row>
    <row r="15" spans="1:24" ht="18" customHeight="1">
      <c r="A15" s="14">
        <v>46276</v>
      </c>
      <c r="B15" s="15" t="s">
        <v>54</v>
      </c>
      <c r="C15" s="16">
        <v>57</v>
      </c>
      <c r="D15" s="16">
        <v>86</v>
      </c>
      <c r="E15" s="22"/>
      <c r="F15" s="17">
        <f t="shared" si="0"/>
        <v>45</v>
      </c>
      <c r="G15" s="18">
        <f t="shared" si="1"/>
        <v>1.2666666666666666</v>
      </c>
      <c r="H15" s="15" t="str">
        <f t="shared" si="2"/>
        <v>달성</v>
      </c>
      <c r="I15" s="17">
        <f t="shared" si="3"/>
        <v>60</v>
      </c>
      <c r="J15" s="18">
        <f t="shared" si="4"/>
        <v>1.4333333333333333</v>
      </c>
      <c r="K15" s="15" t="str">
        <f t="shared" si="5"/>
        <v>달성</v>
      </c>
      <c r="M15" s="1" t="s">
        <v>65</v>
      </c>
      <c r="N15" s="19">
        <v>46327</v>
      </c>
      <c r="O15" s="19">
        <v>46332</v>
      </c>
      <c r="P15" s="17" t="str">
        <f t="shared" si="6"/>
        <v/>
      </c>
      <c r="Q15" s="20" t="str">
        <f t="shared" si="7"/>
        <v/>
      </c>
      <c r="R15" s="18" t="str">
        <f t="shared" si="8"/>
        <v/>
      </c>
      <c r="S15" s="15" t="str">
        <f t="shared" si="9"/>
        <v>미입력</v>
      </c>
      <c r="T15" s="17" t="str">
        <f t="shared" si="10"/>
        <v/>
      </c>
      <c r="U15" s="20" t="str">
        <f t="shared" si="11"/>
        <v/>
      </c>
      <c r="V15" s="18" t="str">
        <f t="shared" si="12"/>
        <v/>
      </c>
      <c r="W15" s="15" t="str">
        <f t="shared" si="13"/>
        <v>미입력</v>
      </c>
      <c r="X15" s="21"/>
    </row>
    <row r="16" spans="1:24" ht="18" customHeight="1">
      <c r="A16" s="23">
        <v>46277</v>
      </c>
      <c r="B16" s="24" t="s">
        <v>56</v>
      </c>
      <c r="C16" s="16">
        <v>56</v>
      </c>
      <c r="D16" s="16">
        <v>60</v>
      </c>
      <c r="E16" s="22"/>
      <c r="F16" s="25">
        <f t="shared" si="0"/>
        <v>45</v>
      </c>
      <c r="G16" s="26">
        <f t="shared" si="1"/>
        <v>1.2444444444444445</v>
      </c>
      <c r="H16" s="24" t="str">
        <f t="shared" si="2"/>
        <v>달성</v>
      </c>
      <c r="I16" s="25">
        <f t="shared" si="3"/>
        <v>60</v>
      </c>
      <c r="J16" s="26">
        <f t="shared" si="4"/>
        <v>1</v>
      </c>
      <c r="K16" s="24" t="str">
        <f t="shared" si="5"/>
        <v>달성</v>
      </c>
      <c r="M16" s="1" t="s">
        <v>66</v>
      </c>
      <c r="N16" s="19">
        <v>46333</v>
      </c>
      <c r="O16" s="19">
        <v>46339</v>
      </c>
      <c r="P16" s="17" t="str">
        <f t="shared" si="6"/>
        <v/>
      </c>
      <c r="Q16" s="20" t="str">
        <f t="shared" si="7"/>
        <v/>
      </c>
      <c r="R16" s="18" t="str">
        <f t="shared" si="8"/>
        <v/>
      </c>
      <c r="S16" s="15" t="str">
        <f t="shared" si="9"/>
        <v>미입력</v>
      </c>
      <c r="T16" s="17" t="str">
        <f t="shared" si="10"/>
        <v/>
      </c>
      <c r="U16" s="20" t="str">
        <f t="shared" si="11"/>
        <v/>
      </c>
      <c r="V16" s="18" t="str">
        <f t="shared" si="12"/>
        <v/>
      </c>
      <c r="W16" s="15" t="str">
        <f t="shared" si="13"/>
        <v>미입력</v>
      </c>
      <c r="X16" s="21"/>
    </row>
    <row r="17" spans="1:24" ht="18" customHeight="1">
      <c r="A17" s="27">
        <v>46278</v>
      </c>
      <c r="B17" s="28" t="s">
        <v>58</v>
      </c>
      <c r="C17" s="16">
        <v>44</v>
      </c>
      <c r="D17" s="16">
        <v>43</v>
      </c>
      <c r="E17" s="22"/>
      <c r="F17" s="29">
        <f t="shared" si="0"/>
        <v>45</v>
      </c>
      <c r="G17" s="30">
        <f t="shared" si="1"/>
        <v>0.97777777777777775</v>
      </c>
      <c r="H17" s="28" t="str">
        <f t="shared" si="2"/>
        <v>미달</v>
      </c>
      <c r="I17" s="29">
        <f t="shared" si="3"/>
        <v>60</v>
      </c>
      <c r="J17" s="30">
        <f t="shared" si="4"/>
        <v>0.71666666666666667</v>
      </c>
      <c r="K17" s="28" t="str">
        <f t="shared" si="5"/>
        <v>미달</v>
      </c>
      <c r="M17" s="1" t="s">
        <v>67</v>
      </c>
      <c r="N17" s="19">
        <v>46340</v>
      </c>
      <c r="O17" s="19">
        <v>46346</v>
      </c>
      <c r="P17" s="17" t="str">
        <f t="shared" si="6"/>
        <v/>
      </c>
      <c r="Q17" s="20" t="str">
        <f t="shared" si="7"/>
        <v/>
      </c>
      <c r="R17" s="18" t="str">
        <f t="shared" si="8"/>
        <v/>
      </c>
      <c r="S17" s="15" t="str">
        <f t="shared" si="9"/>
        <v>미입력</v>
      </c>
      <c r="T17" s="17" t="str">
        <f t="shared" si="10"/>
        <v/>
      </c>
      <c r="U17" s="20" t="str">
        <f t="shared" si="11"/>
        <v/>
      </c>
      <c r="V17" s="18" t="str">
        <f t="shared" si="12"/>
        <v/>
      </c>
      <c r="W17" s="15" t="str">
        <f t="shared" si="13"/>
        <v>미입력</v>
      </c>
      <c r="X17" s="21"/>
    </row>
    <row r="18" spans="1:24" ht="18" customHeight="1">
      <c r="A18" s="14">
        <v>46279</v>
      </c>
      <c r="B18" s="15" t="s">
        <v>60</v>
      </c>
      <c r="C18" s="16"/>
      <c r="D18" s="16"/>
      <c r="E18" s="22" t="s">
        <v>52</v>
      </c>
      <c r="F18" s="17">
        <f t="shared" si="0"/>
        <v>45</v>
      </c>
      <c r="G18" s="18" t="str">
        <f t="shared" si="1"/>
        <v/>
      </c>
      <c r="H18" s="15" t="str">
        <f t="shared" si="2"/>
        <v>휴무</v>
      </c>
      <c r="I18" s="17">
        <f t="shared" si="3"/>
        <v>60</v>
      </c>
      <c r="J18" s="18" t="str">
        <f t="shared" si="4"/>
        <v/>
      </c>
      <c r="K18" s="15" t="str">
        <f t="shared" si="5"/>
        <v>휴무</v>
      </c>
      <c r="M18" s="1" t="s">
        <v>68</v>
      </c>
      <c r="N18" s="19">
        <v>46347</v>
      </c>
      <c r="O18" s="19">
        <v>46353</v>
      </c>
      <c r="P18" s="17" t="str">
        <f t="shared" si="6"/>
        <v/>
      </c>
      <c r="Q18" s="20" t="str">
        <f t="shared" si="7"/>
        <v/>
      </c>
      <c r="R18" s="18" t="str">
        <f t="shared" si="8"/>
        <v/>
      </c>
      <c r="S18" s="15" t="str">
        <f t="shared" si="9"/>
        <v>미입력</v>
      </c>
      <c r="T18" s="17" t="str">
        <f t="shared" si="10"/>
        <v/>
      </c>
      <c r="U18" s="20" t="str">
        <f t="shared" si="11"/>
        <v/>
      </c>
      <c r="V18" s="18" t="str">
        <f t="shared" si="12"/>
        <v/>
      </c>
      <c r="W18" s="15" t="str">
        <f t="shared" si="13"/>
        <v>미입력</v>
      </c>
      <c r="X18" s="21"/>
    </row>
    <row r="19" spans="1:24" ht="18" customHeight="1">
      <c r="A19" s="14">
        <v>46280</v>
      </c>
      <c r="B19" s="15" t="s">
        <v>47</v>
      </c>
      <c r="C19" s="16"/>
      <c r="D19" s="16"/>
      <c r="E19" s="22" t="s">
        <v>52</v>
      </c>
      <c r="F19" s="17">
        <f t="shared" si="0"/>
        <v>45</v>
      </c>
      <c r="G19" s="18" t="str">
        <f t="shared" si="1"/>
        <v/>
      </c>
      <c r="H19" s="15" t="str">
        <f t="shared" si="2"/>
        <v>휴무</v>
      </c>
      <c r="I19" s="17">
        <f t="shared" si="3"/>
        <v>60</v>
      </c>
      <c r="J19" s="18" t="str">
        <f t="shared" si="4"/>
        <v/>
      </c>
      <c r="K19" s="15" t="str">
        <f t="shared" si="5"/>
        <v>휴무</v>
      </c>
      <c r="M19" s="1" t="s">
        <v>69</v>
      </c>
      <c r="N19" s="19">
        <v>46354</v>
      </c>
      <c r="O19" s="19">
        <v>46356</v>
      </c>
      <c r="P19" s="17" t="str">
        <f t="shared" si="6"/>
        <v/>
      </c>
      <c r="Q19" s="20" t="str">
        <f t="shared" si="7"/>
        <v/>
      </c>
      <c r="R19" s="18" t="str">
        <f t="shared" si="8"/>
        <v/>
      </c>
      <c r="S19" s="15" t="str">
        <f t="shared" si="9"/>
        <v>미입력</v>
      </c>
      <c r="T19" s="17" t="str">
        <f t="shared" si="10"/>
        <v/>
      </c>
      <c r="U19" s="20" t="str">
        <f t="shared" si="11"/>
        <v/>
      </c>
      <c r="V19" s="18" t="str">
        <f t="shared" si="12"/>
        <v/>
      </c>
      <c r="W19" s="15" t="str">
        <f t="shared" si="13"/>
        <v>미입력</v>
      </c>
      <c r="X19" s="21"/>
    </row>
    <row r="20" spans="1:24" ht="18" customHeight="1">
      <c r="A20" s="14">
        <v>46281</v>
      </c>
      <c r="B20" s="15" t="s">
        <v>49</v>
      </c>
      <c r="C20" s="16"/>
      <c r="D20" s="16"/>
      <c r="E20" s="22" t="s">
        <v>52</v>
      </c>
      <c r="F20" s="17">
        <f t="shared" si="0"/>
        <v>45</v>
      </c>
      <c r="G20" s="18" t="str">
        <f t="shared" si="1"/>
        <v/>
      </c>
      <c r="H20" s="15" t="str">
        <f t="shared" si="2"/>
        <v>휴무</v>
      </c>
      <c r="I20" s="17">
        <f t="shared" si="3"/>
        <v>60</v>
      </c>
      <c r="J20" s="18" t="str">
        <f t="shared" si="4"/>
        <v/>
      </c>
      <c r="K20" s="15" t="str">
        <f t="shared" si="5"/>
        <v>휴무</v>
      </c>
      <c r="M20" s="1" t="s">
        <v>70</v>
      </c>
      <c r="N20" s="19">
        <v>46357</v>
      </c>
      <c r="O20" s="19">
        <v>46362</v>
      </c>
      <c r="P20" s="17" t="str">
        <f t="shared" si="6"/>
        <v/>
      </c>
      <c r="Q20" s="20" t="str">
        <f t="shared" si="7"/>
        <v/>
      </c>
      <c r="R20" s="18" t="str">
        <f t="shared" si="8"/>
        <v/>
      </c>
      <c r="S20" s="15" t="str">
        <f t="shared" si="9"/>
        <v>미입력</v>
      </c>
      <c r="T20" s="17" t="str">
        <f t="shared" si="10"/>
        <v/>
      </c>
      <c r="U20" s="20" t="str">
        <f t="shared" si="11"/>
        <v/>
      </c>
      <c r="V20" s="18" t="str">
        <f t="shared" si="12"/>
        <v/>
      </c>
      <c r="W20" s="15" t="str">
        <f t="shared" si="13"/>
        <v>미입력</v>
      </c>
      <c r="X20" s="21"/>
    </row>
    <row r="21" spans="1:24" ht="18" customHeight="1">
      <c r="A21" s="14">
        <v>46282</v>
      </c>
      <c r="B21" s="15" t="s">
        <v>51</v>
      </c>
      <c r="C21" s="16">
        <v>25</v>
      </c>
      <c r="D21" s="16">
        <v>51</v>
      </c>
      <c r="E21" s="22"/>
      <c r="F21" s="17">
        <f t="shared" si="0"/>
        <v>45</v>
      </c>
      <c r="G21" s="18">
        <f t="shared" si="1"/>
        <v>0.55555555555555558</v>
      </c>
      <c r="H21" s="15" t="str">
        <f t="shared" si="2"/>
        <v>미달</v>
      </c>
      <c r="I21" s="17">
        <f t="shared" si="3"/>
        <v>60</v>
      </c>
      <c r="J21" s="18">
        <f t="shared" si="4"/>
        <v>0.85</v>
      </c>
      <c r="K21" s="15" t="str">
        <f t="shared" si="5"/>
        <v>미달</v>
      </c>
      <c r="M21" s="1" t="s">
        <v>71</v>
      </c>
      <c r="N21" s="19">
        <v>46363</v>
      </c>
      <c r="O21" s="19">
        <v>46369</v>
      </c>
      <c r="P21" s="17" t="str">
        <f t="shared" si="6"/>
        <v/>
      </c>
      <c r="Q21" s="20" t="str">
        <f t="shared" si="7"/>
        <v/>
      </c>
      <c r="R21" s="18" t="str">
        <f t="shared" si="8"/>
        <v/>
      </c>
      <c r="S21" s="15" t="str">
        <f t="shared" si="9"/>
        <v>미입력</v>
      </c>
      <c r="T21" s="17" t="str">
        <f t="shared" si="10"/>
        <v/>
      </c>
      <c r="U21" s="20" t="str">
        <f t="shared" si="11"/>
        <v/>
      </c>
      <c r="V21" s="18" t="str">
        <f t="shared" si="12"/>
        <v/>
      </c>
      <c r="W21" s="15" t="str">
        <f t="shared" si="13"/>
        <v>미입력</v>
      </c>
      <c r="X21" s="21"/>
    </row>
    <row r="22" spans="1:24" ht="18" customHeight="1">
      <c r="A22" s="14">
        <v>46283</v>
      </c>
      <c r="B22" s="15" t="s">
        <v>54</v>
      </c>
      <c r="C22" s="16">
        <v>56</v>
      </c>
      <c r="D22" s="16">
        <v>76</v>
      </c>
      <c r="E22" s="22"/>
      <c r="F22" s="17">
        <f t="shared" si="0"/>
        <v>45</v>
      </c>
      <c r="G22" s="18">
        <f t="shared" si="1"/>
        <v>1.2444444444444445</v>
      </c>
      <c r="H22" s="15" t="str">
        <f t="shared" si="2"/>
        <v>달성</v>
      </c>
      <c r="I22" s="17">
        <f t="shared" si="3"/>
        <v>60</v>
      </c>
      <c r="J22" s="18">
        <f t="shared" si="4"/>
        <v>1.2666666666666666</v>
      </c>
      <c r="K22" s="15" t="str">
        <f t="shared" si="5"/>
        <v>달성</v>
      </c>
      <c r="M22" s="1" t="s">
        <v>72</v>
      </c>
      <c r="N22" s="19">
        <v>46370</v>
      </c>
      <c r="O22" s="19">
        <v>46376</v>
      </c>
      <c r="P22" s="17" t="str">
        <f t="shared" si="6"/>
        <v/>
      </c>
      <c r="Q22" s="20" t="str">
        <f t="shared" si="7"/>
        <v/>
      </c>
      <c r="R22" s="18" t="str">
        <f t="shared" si="8"/>
        <v/>
      </c>
      <c r="S22" s="15" t="str">
        <f t="shared" si="9"/>
        <v>미입력</v>
      </c>
      <c r="T22" s="17" t="str">
        <f t="shared" si="10"/>
        <v/>
      </c>
      <c r="U22" s="20" t="str">
        <f t="shared" si="11"/>
        <v/>
      </c>
      <c r="V22" s="18" t="str">
        <f t="shared" si="12"/>
        <v/>
      </c>
      <c r="W22" s="15" t="str">
        <f t="shared" si="13"/>
        <v>미입력</v>
      </c>
      <c r="X22" s="21"/>
    </row>
    <row r="23" spans="1:24" ht="18" customHeight="1">
      <c r="A23" s="23">
        <v>46284</v>
      </c>
      <c r="B23" s="24" t="s">
        <v>56</v>
      </c>
      <c r="C23" s="16">
        <v>43</v>
      </c>
      <c r="D23" s="16">
        <v>42</v>
      </c>
      <c r="E23" s="22"/>
      <c r="F23" s="25">
        <f t="shared" si="0"/>
        <v>45</v>
      </c>
      <c r="G23" s="26">
        <f t="shared" si="1"/>
        <v>0.9555555555555556</v>
      </c>
      <c r="H23" s="24" t="str">
        <f t="shared" si="2"/>
        <v>미달</v>
      </c>
      <c r="I23" s="25">
        <f t="shared" si="3"/>
        <v>60</v>
      </c>
      <c r="J23" s="26">
        <f t="shared" si="4"/>
        <v>0.7</v>
      </c>
      <c r="K23" s="24" t="str">
        <f t="shared" si="5"/>
        <v>미달</v>
      </c>
      <c r="M23" s="1" t="s">
        <v>73</v>
      </c>
      <c r="N23" s="19">
        <v>46377</v>
      </c>
      <c r="O23" s="19">
        <v>46383</v>
      </c>
      <c r="P23" s="17" t="str">
        <f t="shared" si="6"/>
        <v/>
      </c>
      <c r="Q23" s="20" t="str">
        <f t="shared" si="7"/>
        <v/>
      </c>
      <c r="R23" s="18" t="str">
        <f t="shared" si="8"/>
        <v/>
      </c>
      <c r="S23" s="15" t="str">
        <f t="shared" si="9"/>
        <v>미입력</v>
      </c>
      <c r="T23" s="17" t="str">
        <f t="shared" si="10"/>
        <v/>
      </c>
      <c r="U23" s="20" t="str">
        <f t="shared" si="11"/>
        <v/>
      </c>
      <c r="V23" s="18" t="str">
        <f t="shared" si="12"/>
        <v/>
      </c>
      <c r="W23" s="15" t="str">
        <f t="shared" si="13"/>
        <v>미입력</v>
      </c>
      <c r="X23" s="21"/>
    </row>
    <row r="24" spans="1:24" ht="18" customHeight="1">
      <c r="A24" s="27">
        <v>46285</v>
      </c>
      <c r="B24" s="28" t="s">
        <v>58</v>
      </c>
      <c r="C24" s="16">
        <v>36</v>
      </c>
      <c r="D24" s="16">
        <v>45</v>
      </c>
      <c r="E24" s="22"/>
      <c r="F24" s="29">
        <f t="shared" si="0"/>
        <v>45</v>
      </c>
      <c r="G24" s="30">
        <f t="shared" si="1"/>
        <v>0.8</v>
      </c>
      <c r="H24" s="28" t="str">
        <f t="shared" si="2"/>
        <v>미달</v>
      </c>
      <c r="I24" s="29">
        <f t="shared" si="3"/>
        <v>60</v>
      </c>
      <c r="J24" s="30">
        <f t="shared" si="4"/>
        <v>0.75</v>
      </c>
      <c r="K24" s="28" t="str">
        <f t="shared" si="5"/>
        <v>미달</v>
      </c>
      <c r="M24" s="1" t="s">
        <v>74</v>
      </c>
      <c r="N24" s="19">
        <v>46384</v>
      </c>
      <c r="O24" s="19">
        <v>46387</v>
      </c>
      <c r="P24" s="17" t="str">
        <f t="shared" si="6"/>
        <v/>
      </c>
      <c r="Q24" s="20" t="str">
        <f t="shared" si="7"/>
        <v/>
      </c>
      <c r="R24" s="18" t="str">
        <f t="shared" si="8"/>
        <v/>
      </c>
      <c r="S24" s="15" t="str">
        <f t="shared" si="9"/>
        <v>미입력</v>
      </c>
      <c r="T24" s="17" t="str">
        <f t="shared" si="10"/>
        <v/>
      </c>
      <c r="U24" s="20" t="str">
        <f t="shared" si="11"/>
        <v/>
      </c>
      <c r="V24" s="18" t="str">
        <f t="shared" si="12"/>
        <v/>
      </c>
      <c r="W24" s="15" t="str">
        <f t="shared" si="13"/>
        <v>미입력</v>
      </c>
      <c r="X24" s="21"/>
    </row>
    <row r="25" spans="1:24" ht="18" customHeight="1">
      <c r="A25" s="14">
        <v>46286</v>
      </c>
      <c r="B25" s="15" t="s">
        <v>60</v>
      </c>
      <c r="C25" s="16">
        <v>29</v>
      </c>
      <c r="D25" s="16">
        <v>58</v>
      </c>
      <c r="E25" s="22"/>
      <c r="F25" s="17">
        <f t="shared" si="0"/>
        <v>45</v>
      </c>
      <c r="G25" s="18">
        <f t="shared" si="1"/>
        <v>0.64444444444444449</v>
      </c>
      <c r="H25" s="15" t="str">
        <f t="shared" si="2"/>
        <v>미달</v>
      </c>
      <c r="I25" s="17">
        <f t="shared" si="3"/>
        <v>60</v>
      </c>
      <c r="J25" s="18">
        <f t="shared" si="4"/>
        <v>0.96666666666666667</v>
      </c>
      <c r="K25" s="15" t="str">
        <f t="shared" si="5"/>
        <v>미달</v>
      </c>
    </row>
    <row r="26" spans="1:24" ht="18" customHeight="1">
      <c r="A26" s="14">
        <v>46287</v>
      </c>
      <c r="B26" s="15" t="s">
        <v>47</v>
      </c>
      <c r="C26" s="16"/>
      <c r="D26" s="16"/>
      <c r="E26" s="22" t="s">
        <v>52</v>
      </c>
      <c r="F26" s="17">
        <f t="shared" si="0"/>
        <v>45</v>
      </c>
      <c r="G26" s="18" t="str">
        <f t="shared" si="1"/>
        <v/>
      </c>
      <c r="H26" s="15" t="str">
        <f t="shared" si="2"/>
        <v>휴무</v>
      </c>
      <c r="I26" s="17">
        <f t="shared" si="3"/>
        <v>60</v>
      </c>
      <c r="J26" s="18" t="str">
        <f t="shared" si="4"/>
        <v/>
      </c>
      <c r="K26" s="15" t="str">
        <f t="shared" si="5"/>
        <v>휴무</v>
      </c>
    </row>
    <row r="27" spans="1:24" ht="18" customHeight="1">
      <c r="A27" s="14">
        <v>46288</v>
      </c>
      <c r="B27" s="15" t="s">
        <v>49</v>
      </c>
      <c r="C27" s="16">
        <v>24</v>
      </c>
      <c r="D27" s="16">
        <v>19</v>
      </c>
      <c r="E27" s="22"/>
      <c r="F27" s="17">
        <f t="shared" si="0"/>
        <v>45</v>
      </c>
      <c r="G27" s="18">
        <f t="shared" si="1"/>
        <v>0.53333333333333333</v>
      </c>
      <c r="H27" s="15" t="str">
        <f t="shared" si="2"/>
        <v>미달</v>
      </c>
      <c r="I27" s="17">
        <f t="shared" si="3"/>
        <v>60</v>
      </c>
      <c r="J27" s="18">
        <f t="shared" si="4"/>
        <v>0.31666666666666665</v>
      </c>
      <c r="K27" s="15" t="str">
        <f t="shared" si="5"/>
        <v>미달</v>
      </c>
    </row>
    <row r="28" spans="1:24" ht="18" customHeight="1">
      <c r="A28" s="14">
        <v>46289</v>
      </c>
      <c r="B28" s="15" t="s">
        <v>51</v>
      </c>
      <c r="C28" s="16">
        <v>24</v>
      </c>
      <c r="D28" s="16">
        <v>41</v>
      </c>
      <c r="E28" s="22"/>
      <c r="F28" s="17">
        <f t="shared" si="0"/>
        <v>45</v>
      </c>
      <c r="G28" s="18">
        <f t="shared" si="1"/>
        <v>0.53333333333333333</v>
      </c>
      <c r="H28" s="15" t="str">
        <f t="shared" si="2"/>
        <v>미달</v>
      </c>
      <c r="I28" s="17">
        <f t="shared" si="3"/>
        <v>60</v>
      </c>
      <c r="J28" s="18">
        <f t="shared" si="4"/>
        <v>0.68333333333333335</v>
      </c>
      <c r="K28" s="15" t="str">
        <f t="shared" si="5"/>
        <v>미달</v>
      </c>
    </row>
    <row r="29" spans="1:24" ht="18" customHeight="1">
      <c r="A29" s="14">
        <v>46290</v>
      </c>
      <c r="B29" s="15" t="s">
        <v>54</v>
      </c>
      <c r="C29" s="16"/>
      <c r="D29" s="16"/>
      <c r="E29" s="22" t="s">
        <v>52</v>
      </c>
      <c r="F29" s="17">
        <f t="shared" si="0"/>
        <v>45</v>
      </c>
      <c r="G29" s="18" t="str">
        <f t="shared" si="1"/>
        <v/>
      </c>
      <c r="H29" s="15" t="str">
        <f t="shared" si="2"/>
        <v>휴무</v>
      </c>
      <c r="I29" s="17">
        <f t="shared" si="3"/>
        <v>60</v>
      </c>
      <c r="J29" s="18" t="str">
        <f t="shared" si="4"/>
        <v/>
      </c>
      <c r="K29" s="15" t="str">
        <f t="shared" si="5"/>
        <v>휴무</v>
      </c>
    </row>
    <row r="30" spans="1:24" ht="18" customHeight="1">
      <c r="A30" s="23">
        <v>46291</v>
      </c>
      <c r="B30" s="24" t="s">
        <v>56</v>
      </c>
      <c r="C30" s="16">
        <v>34</v>
      </c>
      <c r="D30" s="16">
        <v>56</v>
      </c>
      <c r="E30" s="22"/>
      <c r="F30" s="25">
        <f t="shared" si="0"/>
        <v>45</v>
      </c>
      <c r="G30" s="26">
        <f t="shared" si="1"/>
        <v>0.75555555555555554</v>
      </c>
      <c r="H30" s="24" t="str">
        <f t="shared" si="2"/>
        <v>미달</v>
      </c>
      <c r="I30" s="25">
        <f t="shared" si="3"/>
        <v>60</v>
      </c>
      <c r="J30" s="26">
        <f t="shared" si="4"/>
        <v>0.93333333333333335</v>
      </c>
      <c r="K30" s="24" t="str">
        <f t="shared" si="5"/>
        <v>미달</v>
      </c>
    </row>
    <row r="31" spans="1:24" ht="18" customHeight="1">
      <c r="A31" s="27">
        <v>46292</v>
      </c>
      <c r="B31" s="28" t="s">
        <v>58</v>
      </c>
      <c r="C31" s="16">
        <v>23</v>
      </c>
      <c r="D31" s="16">
        <v>43</v>
      </c>
      <c r="E31" s="22"/>
      <c r="F31" s="29">
        <f t="shared" si="0"/>
        <v>45</v>
      </c>
      <c r="G31" s="30">
        <f t="shared" si="1"/>
        <v>0.51111111111111107</v>
      </c>
      <c r="H31" s="28" t="str">
        <f t="shared" si="2"/>
        <v>미달</v>
      </c>
      <c r="I31" s="29">
        <f t="shared" si="3"/>
        <v>60</v>
      </c>
      <c r="J31" s="30">
        <f t="shared" si="4"/>
        <v>0.71666666666666667</v>
      </c>
      <c r="K31" s="28" t="str">
        <f t="shared" si="5"/>
        <v>미달</v>
      </c>
    </row>
    <row r="32" spans="1:24" ht="18" customHeight="1">
      <c r="A32" s="14">
        <v>46293</v>
      </c>
      <c r="B32" s="15" t="s">
        <v>60</v>
      </c>
      <c r="C32" s="16">
        <v>33</v>
      </c>
      <c r="D32" s="16">
        <v>62</v>
      </c>
      <c r="E32" s="22"/>
      <c r="F32" s="17">
        <f t="shared" si="0"/>
        <v>45</v>
      </c>
      <c r="G32" s="18">
        <f t="shared" si="1"/>
        <v>0.73333333333333328</v>
      </c>
      <c r="H32" s="15" t="str">
        <f t="shared" si="2"/>
        <v>미달</v>
      </c>
      <c r="I32" s="17">
        <f t="shared" si="3"/>
        <v>60</v>
      </c>
      <c r="J32" s="18">
        <f t="shared" si="4"/>
        <v>1.0333333333333334</v>
      </c>
      <c r="K32" s="15" t="str">
        <f t="shared" si="5"/>
        <v>달성</v>
      </c>
    </row>
    <row r="33" spans="1:11" ht="18" customHeight="1">
      <c r="A33" s="14">
        <v>46294</v>
      </c>
      <c r="B33" s="15" t="s">
        <v>47</v>
      </c>
      <c r="C33" s="16"/>
      <c r="D33" s="16"/>
      <c r="E33" s="22" t="s">
        <v>52</v>
      </c>
      <c r="F33" s="17">
        <f t="shared" si="0"/>
        <v>45</v>
      </c>
      <c r="G33" s="18" t="str">
        <f t="shared" si="1"/>
        <v/>
      </c>
      <c r="H33" s="15" t="str">
        <f t="shared" si="2"/>
        <v>휴무</v>
      </c>
      <c r="I33" s="17">
        <f t="shared" si="3"/>
        <v>60</v>
      </c>
      <c r="J33" s="18" t="str">
        <f t="shared" si="4"/>
        <v/>
      </c>
      <c r="K33" s="15" t="str">
        <f t="shared" si="5"/>
        <v>휴무</v>
      </c>
    </row>
    <row r="34" spans="1:11" ht="18" customHeight="1">
      <c r="A34" s="14">
        <v>46295</v>
      </c>
      <c r="B34" s="15" t="s">
        <v>49</v>
      </c>
      <c r="C34" s="16">
        <v>45</v>
      </c>
      <c r="D34" s="16">
        <v>71</v>
      </c>
      <c r="E34" s="22"/>
      <c r="F34" s="17">
        <f t="shared" si="0"/>
        <v>45</v>
      </c>
      <c r="G34" s="18">
        <f t="shared" si="1"/>
        <v>1</v>
      </c>
      <c r="H34" s="15" t="str">
        <f t="shared" si="2"/>
        <v>달성</v>
      </c>
      <c r="I34" s="17">
        <f t="shared" si="3"/>
        <v>60</v>
      </c>
      <c r="J34" s="18">
        <f t="shared" si="4"/>
        <v>1.1833333333333333</v>
      </c>
      <c r="K34" s="15" t="str">
        <f t="shared" si="5"/>
        <v>달성</v>
      </c>
    </row>
    <row r="35" spans="1:11" ht="18" customHeight="1">
      <c r="A35" s="14">
        <v>46296</v>
      </c>
      <c r="B35" s="15" t="s">
        <v>51</v>
      </c>
      <c r="C35" s="16">
        <v>30</v>
      </c>
      <c r="D35" s="16">
        <v>58</v>
      </c>
      <c r="E35" s="22"/>
      <c r="F35" s="17">
        <f t="shared" si="0"/>
        <v>45</v>
      </c>
      <c r="G35" s="18">
        <f t="shared" si="1"/>
        <v>0.66666666666666663</v>
      </c>
      <c r="H35" s="15" t="str">
        <f t="shared" si="2"/>
        <v>미달</v>
      </c>
      <c r="I35" s="17">
        <f t="shared" si="3"/>
        <v>60</v>
      </c>
      <c r="J35" s="18">
        <f t="shared" si="4"/>
        <v>0.96666666666666667</v>
      </c>
      <c r="K35" s="15" t="str">
        <f t="shared" si="5"/>
        <v>미달</v>
      </c>
    </row>
    <row r="36" spans="1:11" ht="18" customHeight="1">
      <c r="A36" s="14">
        <v>46297</v>
      </c>
      <c r="B36" s="15" t="s">
        <v>54</v>
      </c>
      <c r="C36" s="16">
        <v>42</v>
      </c>
      <c r="D36" s="16">
        <v>79</v>
      </c>
      <c r="E36" s="22"/>
      <c r="F36" s="17">
        <f t="shared" si="0"/>
        <v>45</v>
      </c>
      <c r="G36" s="18">
        <f t="shared" si="1"/>
        <v>0.93333333333333335</v>
      </c>
      <c r="H36" s="15" t="str">
        <f t="shared" si="2"/>
        <v>미달</v>
      </c>
      <c r="I36" s="17">
        <f t="shared" si="3"/>
        <v>60</v>
      </c>
      <c r="J36" s="18">
        <f t="shared" si="4"/>
        <v>1.3166666666666667</v>
      </c>
      <c r="K36" s="15" t="str">
        <f t="shared" si="5"/>
        <v>달성</v>
      </c>
    </row>
    <row r="37" spans="1:11" ht="18" customHeight="1">
      <c r="A37" s="23">
        <v>46298</v>
      </c>
      <c r="B37" s="24" t="s">
        <v>56</v>
      </c>
      <c r="C37" s="16"/>
      <c r="D37" s="16"/>
      <c r="E37" s="22" t="s">
        <v>52</v>
      </c>
      <c r="F37" s="25">
        <f t="shared" ref="F37:F68" si="14">IF(OR($E37="오전반차",$E37="오후반차"),$D$2/2,$D$2)</f>
        <v>45</v>
      </c>
      <c r="G37" s="26" t="str">
        <f t="shared" ref="G37:G68" si="15">IF($C37="","",$C37/$F37)</f>
        <v/>
      </c>
      <c r="H37" s="24" t="str">
        <f t="shared" ref="H37:H68" si="16">IF($C37="",IF($E37="","미입력",$E37),IF($C37&gt;=$F37,"달성","미달"))</f>
        <v>휴무</v>
      </c>
      <c r="I37" s="25">
        <f t="shared" ref="I37:I68" si="17">IF(OR($E37="오전반차",$E37="오후반차"),$F$2/2,$F$2)</f>
        <v>60</v>
      </c>
      <c r="J37" s="26" t="str">
        <f t="shared" ref="J37:J68" si="18">IF($D37="","",$D37/$I37)</f>
        <v/>
      </c>
      <c r="K37" s="24" t="str">
        <f t="shared" ref="K37:K68" si="19">IF($D37="",IF($E37="","미입력",$E37),IF($D37&gt;=$I37,"달성","미달"))</f>
        <v>휴무</v>
      </c>
    </row>
    <row r="38" spans="1:11" ht="18" customHeight="1">
      <c r="A38" s="27">
        <v>46299</v>
      </c>
      <c r="B38" s="28" t="s">
        <v>58</v>
      </c>
      <c r="C38" s="16">
        <v>38</v>
      </c>
      <c r="D38" s="16">
        <v>48</v>
      </c>
      <c r="E38" s="22"/>
      <c r="F38" s="29">
        <f t="shared" si="14"/>
        <v>45</v>
      </c>
      <c r="G38" s="30">
        <f t="shared" si="15"/>
        <v>0.84444444444444444</v>
      </c>
      <c r="H38" s="28" t="str">
        <f t="shared" si="16"/>
        <v>미달</v>
      </c>
      <c r="I38" s="29">
        <f t="shared" si="17"/>
        <v>60</v>
      </c>
      <c r="J38" s="30">
        <f t="shared" si="18"/>
        <v>0.8</v>
      </c>
      <c r="K38" s="28" t="str">
        <f t="shared" si="19"/>
        <v>미달</v>
      </c>
    </row>
    <row r="39" spans="1:11" ht="18" customHeight="1">
      <c r="A39" s="14">
        <v>46300</v>
      </c>
      <c r="B39" s="15" t="s">
        <v>60</v>
      </c>
      <c r="C39" s="16"/>
      <c r="D39" s="16"/>
      <c r="E39" s="22"/>
      <c r="F39" s="17">
        <f t="shared" si="14"/>
        <v>45</v>
      </c>
      <c r="G39" s="18" t="str">
        <f t="shared" si="15"/>
        <v/>
      </c>
      <c r="H39" s="15" t="str">
        <f t="shared" si="16"/>
        <v>미입력</v>
      </c>
      <c r="I39" s="17">
        <f t="shared" si="17"/>
        <v>60</v>
      </c>
      <c r="J39" s="18" t="str">
        <f t="shared" si="18"/>
        <v/>
      </c>
      <c r="K39" s="15" t="str">
        <f t="shared" si="19"/>
        <v>미입력</v>
      </c>
    </row>
    <row r="40" spans="1:11" ht="18" customHeight="1">
      <c r="A40" s="14">
        <v>46301</v>
      </c>
      <c r="B40" s="15" t="s">
        <v>47</v>
      </c>
      <c r="C40" s="16"/>
      <c r="D40" s="16"/>
      <c r="E40" s="22"/>
      <c r="F40" s="17">
        <f t="shared" si="14"/>
        <v>45</v>
      </c>
      <c r="G40" s="18" t="str">
        <f t="shared" si="15"/>
        <v/>
      </c>
      <c r="H40" s="15" t="str">
        <f t="shared" si="16"/>
        <v>미입력</v>
      </c>
      <c r="I40" s="17">
        <f t="shared" si="17"/>
        <v>60</v>
      </c>
      <c r="J40" s="18" t="str">
        <f t="shared" si="18"/>
        <v/>
      </c>
      <c r="K40" s="15" t="str">
        <f t="shared" si="19"/>
        <v>미입력</v>
      </c>
    </row>
    <row r="41" spans="1:11" ht="18" customHeight="1">
      <c r="A41" s="14">
        <v>46302</v>
      </c>
      <c r="B41" s="15" t="s">
        <v>49</v>
      </c>
      <c r="C41" s="16"/>
      <c r="D41" s="16"/>
      <c r="E41" s="22"/>
      <c r="F41" s="17">
        <f t="shared" si="14"/>
        <v>45</v>
      </c>
      <c r="G41" s="18" t="str">
        <f t="shared" si="15"/>
        <v/>
      </c>
      <c r="H41" s="15" t="str">
        <f t="shared" si="16"/>
        <v>미입력</v>
      </c>
      <c r="I41" s="17">
        <f t="shared" si="17"/>
        <v>60</v>
      </c>
      <c r="J41" s="18" t="str">
        <f t="shared" si="18"/>
        <v/>
      </c>
      <c r="K41" s="15" t="str">
        <f t="shared" si="19"/>
        <v>미입력</v>
      </c>
    </row>
    <row r="42" spans="1:11" ht="18" customHeight="1">
      <c r="A42" s="14">
        <v>46303</v>
      </c>
      <c r="B42" s="15" t="s">
        <v>51</v>
      </c>
      <c r="C42" s="16"/>
      <c r="D42" s="16"/>
      <c r="E42" s="22"/>
      <c r="F42" s="17">
        <f t="shared" si="14"/>
        <v>45</v>
      </c>
      <c r="G42" s="18" t="str">
        <f t="shared" si="15"/>
        <v/>
      </c>
      <c r="H42" s="15" t="str">
        <f t="shared" si="16"/>
        <v>미입력</v>
      </c>
      <c r="I42" s="17">
        <f t="shared" si="17"/>
        <v>60</v>
      </c>
      <c r="J42" s="18" t="str">
        <f t="shared" si="18"/>
        <v/>
      </c>
      <c r="K42" s="15" t="str">
        <f t="shared" si="19"/>
        <v>미입력</v>
      </c>
    </row>
    <row r="43" spans="1:11" ht="18" customHeight="1">
      <c r="A43" s="14">
        <v>46304</v>
      </c>
      <c r="B43" s="15" t="s">
        <v>54</v>
      </c>
      <c r="C43" s="16"/>
      <c r="D43" s="16"/>
      <c r="E43" s="22"/>
      <c r="F43" s="17">
        <f t="shared" si="14"/>
        <v>45</v>
      </c>
      <c r="G43" s="18" t="str">
        <f t="shared" si="15"/>
        <v/>
      </c>
      <c r="H43" s="15" t="str">
        <f t="shared" si="16"/>
        <v>미입력</v>
      </c>
      <c r="I43" s="17">
        <f t="shared" si="17"/>
        <v>60</v>
      </c>
      <c r="J43" s="18" t="str">
        <f t="shared" si="18"/>
        <v/>
      </c>
      <c r="K43" s="15" t="str">
        <f t="shared" si="19"/>
        <v>미입력</v>
      </c>
    </row>
    <row r="44" spans="1:11" ht="18" customHeight="1">
      <c r="A44" s="23">
        <v>46305</v>
      </c>
      <c r="B44" s="24" t="s">
        <v>56</v>
      </c>
      <c r="C44" s="16"/>
      <c r="D44" s="16"/>
      <c r="E44" s="22"/>
      <c r="F44" s="25">
        <f t="shared" si="14"/>
        <v>45</v>
      </c>
      <c r="G44" s="26" t="str">
        <f t="shared" si="15"/>
        <v/>
      </c>
      <c r="H44" s="24" t="str">
        <f t="shared" si="16"/>
        <v>미입력</v>
      </c>
      <c r="I44" s="25">
        <f t="shared" si="17"/>
        <v>60</v>
      </c>
      <c r="J44" s="26" t="str">
        <f t="shared" si="18"/>
        <v/>
      </c>
      <c r="K44" s="24" t="str">
        <f t="shared" si="19"/>
        <v>미입력</v>
      </c>
    </row>
    <row r="45" spans="1:11" ht="18" customHeight="1">
      <c r="A45" s="27">
        <v>46306</v>
      </c>
      <c r="B45" s="28" t="s">
        <v>58</v>
      </c>
      <c r="C45" s="16"/>
      <c r="D45" s="16"/>
      <c r="E45" s="22"/>
      <c r="F45" s="29">
        <f t="shared" si="14"/>
        <v>45</v>
      </c>
      <c r="G45" s="30" t="str">
        <f t="shared" si="15"/>
        <v/>
      </c>
      <c r="H45" s="28" t="str">
        <f t="shared" si="16"/>
        <v>미입력</v>
      </c>
      <c r="I45" s="29">
        <f t="shared" si="17"/>
        <v>60</v>
      </c>
      <c r="J45" s="30" t="str">
        <f t="shared" si="18"/>
        <v/>
      </c>
      <c r="K45" s="28" t="str">
        <f t="shared" si="19"/>
        <v>미입력</v>
      </c>
    </row>
    <row r="46" spans="1:11" ht="18" customHeight="1">
      <c r="A46" s="14">
        <v>46307</v>
      </c>
      <c r="B46" s="15" t="s">
        <v>60</v>
      </c>
      <c r="C46" s="16"/>
      <c r="D46" s="16"/>
      <c r="E46" s="22"/>
      <c r="F46" s="17">
        <f t="shared" si="14"/>
        <v>45</v>
      </c>
      <c r="G46" s="18" t="str">
        <f t="shared" si="15"/>
        <v/>
      </c>
      <c r="H46" s="15" t="str">
        <f t="shared" si="16"/>
        <v>미입력</v>
      </c>
      <c r="I46" s="17">
        <f t="shared" si="17"/>
        <v>60</v>
      </c>
      <c r="J46" s="18" t="str">
        <f t="shared" si="18"/>
        <v/>
      </c>
      <c r="K46" s="15" t="str">
        <f t="shared" si="19"/>
        <v>미입력</v>
      </c>
    </row>
    <row r="47" spans="1:11" ht="18" customHeight="1">
      <c r="A47" s="14">
        <v>46308</v>
      </c>
      <c r="B47" s="15" t="s">
        <v>47</v>
      </c>
      <c r="C47" s="16"/>
      <c r="D47" s="16"/>
      <c r="E47" s="22"/>
      <c r="F47" s="17">
        <f t="shared" si="14"/>
        <v>45</v>
      </c>
      <c r="G47" s="18" t="str">
        <f t="shared" si="15"/>
        <v/>
      </c>
      <c r="H47" s="15" t="str">
        <f t="shared" si="16"/>
        <v>미입력</v>
      </c>
      <c r="I47" s="17">
        <f t="shared" si="17"/>
        <v>60</v>
      </c>
      <c r="J47" s="18" t="str">
        <f t="shared" si="18"/>
        <v/>
      </c>
      <c r="K47" s="15" t="str">
        <f t="shared" si="19"/>
        <v>미입력</v>
      </c>
    </row>
    <row r="48" spans="1:11" ht="18" customHeight="1">
      <c r="A48" s="14">
        <v>46309</v>
      </c>
      <c r="B48" s="15" t="s">
        <v>49</v>
      </c>
      <c r="C48" s="16"/>
      <c r="D48" s="16"/>
      <c r="E48" s="22"/>
      <c r="F48" s="17">
        <f t="shared" si="14"/>
        <v>45</v>
      </c>
      <c r="G48" s="18" t="str">
        <f t="shared" si="15"/>
        <v/>
      </c>
      <c r="H48" s="15" t="str">
        <f t="shared" si="16"/>
        <v>미입력</v>
      </c>
      <c r="I48" s="17">
        <f t="shared" si="17"/>
        <v>60</v>
      </c>
      <c r="J48" s="18" t="str">
        <f t="shared" si="18"/>
        <v/>
      </c>
      <c r="K48" s="15" t="str">
        <f t="shared" si="19"/>
        <v>미입력</v>
      </c>
    </row>
    <row r="49" spans="1:11" ht="18" customHeight="1">
      <c r="A49" s="14">
        <v>46310</v>
      </c>
      <c r="B49" s="15" t="s">
        <v>51</v>
      </c>
      <c r="C49" s="16"/>
      <c r="D49" s="16"/>
      <c r="E49" s="22"/>
      <c r="F49" s="17">
        <f t="shared" si="14"/>
        <v>45</v>
      </c>
      <c r="G49" s="18" t="str">
        <f t="shared" si="15"/>
        <v/>
      </c>
      <c r="H49" s="15" t="str">
        <f t="shared" si="16"/>
        <v>미입력</v>
      </c>
      <c r="I49" s="17">
        <f t="shared" si="17"/>
        <v>60</v>
      </c>
      <c r="J49" s="18" t="str">
        <f t="shared" si="18"/>
        <v/>
      </c>
      <c r="K49" s="15" t="str">
        <f t="shared" si="19"/>
        <v>미입력</v>
      </c>
    </row>
    <row r="50" spans="1:11" ht="18" customHeight="1">
      <c r="A50" s="14">
        <v>46311</v>
      </c>
      <c r="B50" s="15" t="s">
        <v>54</v>
      </c>
      <c r="C50" s="16"/>
      <c r="D50" s="16"/>
      <c r="E50" s="22"/>
      <c r="F50" s="17">
        <f t="shared" si="14"/>
        <v>45</v>
      </c>
      <c r="G50" s="18" t="str">
        <f t="shared" si="15"/>
        <v/>
      </c>
      <c r="H50" s="15" t="str">
        <f t="shared" si="16"/>
        <v>미입력</v>
      </c>
      <c r="I50" s="17">
        <f t="shared" si="17"/>
        <v>60</v>
      </c>
      <c r="J50" s="18" t="str">
        <f t="shared" si="18"/>
        <v/>
      </c>
      <c r="K50" s="15" t="str">
        <f t="shared" si="19"/>
        <v>미입력</v>
      </c>
    </row>
    <row r="51" spans="1:11" ht="18" customHeight="1">
      <c r="A51" s="23">
        <v>46312</v>
      </c>
      <c r="B51" s="24" t="s">
        <v>56</v>
      </c>
      <c r="C51" s="16"/>
      <c r="D51" s="16"/>
      <c r="E51" s="22"/>
      <c r="F51" s="25">
        <f t="shared" si="14"/>
        <v>45</v>
      </c>
      <c r="G51" s="26" t="str">
        <f t="shared" si="15"/>
        <v/>
      </c>
      <c r="H51" s="24" t="str">
        <f t="shared" si="16"/>
        <v>미입력</v>
      </c>
      <c r="I51" s="25">
        <f t="shared" si="17"/>
        <v>60</v>
      </c>
      <c r="J51" s="26" t="str">
        <f t="shared" si="18"/>
        <v/>
      </c>
      <c r="K51" s="24" t="str">
        <f t="shared" si="19"/>
        <v>미입력</v>
      </c>
    </row>
    <row r="52" spans="1:11" ht="18" customHeight="1">
      <c r="A52" s="27">
        <v>46313</v>
      </c>
      <c r="B52" s="28" t="s">
        <v>58</v>
      </c>
      <c r="C52" s="16"/>
      <c r="D52" s="16"/>
      <c r="E52" s="22"/>
      <c r="F52" s="29">
        <f t="shared" si="14"/>
        <v>45</v>
      </c>
      <c r="G52" s="30" t="str">
        <f t="shared" si="15"/>
        <v/>
      </c>
      <c r="H52" s="28" t="str">
        <f t="shared" si="16"/>
        <v>미입력</v>
      </c>
      <c r="I52" s="29">
        <f t="shared" si="17"/>
        <v>60</v>
      </c>
      <c r="J52" s="30" t="str">
        <f t="shared" si="18"/>
        <v/>
      </c>
      <c r="K52" s="28" t="str">
        <f t="shared" si="19"/>
        <v>미입력</v>
      </c>
    </row>
    <row r="53" spans="1:11" ht="18" customHeight="1">
      <c r="A53" s="14">
        <v>46314</v>
      </c>
      <c r="B53" s="15" t="s">
        <v>60</v>
      </c>
      <c r="C53" s="16"/>
      <c r="D53" s="16"/>
      <c r="E53" s="22"/>
      <c r="F53" s="17">
        <f t="shared" si="14"/>
        <v>45</v>
      </c>
      <c r="G53" s="18" t="str">
        <f t="shared" si="15"/>
        <v/>
      </c>
      <c r="H53" s="15" t="str">
        <f t="shared" si="16"/>
        <v>미입력</v>
      </c>
      <c r="I53" s="17">
        <f t="shared" si="17"/>
        <v>60</v>
      </c>
      <c r="J53" s="18" t="str">
        <f t="shared" si="18"/>
        <v/>
      </c>
      <c r="K53" s="15" t="str">
        <f t="shared" si="19"/>
        <v>미입력</v>
      </c>
    </row>
    <row r="54" spans="1:11" ht="18" customHeight="1">
      <c r="A54" s="14">
        <v>46315</v>
      </c>
      <c r="B54" s="15" t="s">
        <v>47</v>
      </c>
      <c r="C54" s="16"/>
      <c r="D54" s="16"/>
      <c r="E54" s="22"/>
      <c r="F54" s="17">
        <f t="shared" si="14"/>
        <v>45</v>
      </c>
      <c r="G54" s="18" t="str">
        <f t="shared" si="15"/>
        <v/>
      </c>
      <c r="H54" s="15" t="str">
        <f t="shared" si="16"/>
        <v>미입력</v>
      </c>
      <c r="I54" s="17">
        <f t="shared" si="17"/>
        <v>60</v>
      </c>
      <c r="J54" s="18" t="str">
        <f t="shared" si="18"/>
        <v/>
      </c>
      <c r="K54" s="15" t="str">
        <f t="shared" si="19"/>
        <v>미입력</v>
      </c>
    </row>
    <row r="55" spans="1:11" ht="18" customHeight="1">
      <c r="A55" s="14">
        <v>46316</v>
      </c>
      <c r="B55" s="15" t="s">
        <v>49</v>
      </c>
      <c r="C55" s="16"/>
      <c r="D55" s="16"/>
      <c r="E55" s="22"/>
      <c r="F55" s="17">
        <f t="shared" si="14"/>
        <v>45</v>
      </c>
      <c r="G55" s="18" t="str">
        <f t="shared" si="15"/>
        <v/>
      </c>
      <c r="H55" s="15" t="str">
        <f t="shared" si="16"/>
        <v>미입력</v>
      </c>
      <c r="I55" s="17">
        <f t="shared" si="17"/>
        <v>60</v>
      </c>
      <c r="J55" s="18" t="str">
        <f t="shared" si="18"/>
        <v/>
      </c>
      <c r="K55" s="15" t="str">
        <f t="shared" si="19"/>
        <v>미입력</v>
      </c>
    </row>
    <row r="56" spans="1:11" ht="18" customHeight="1">
      <c r="A56" s="14">
        <v>46317</v>
      </c>
      <c r="B56" s="15" t="s">
        <v>51</v>
      </c>
      <c r="C56" s="16"/>
      <c r="D56" s="16"/>
      <c r="E56" s="22"/>
      <c r="F56" s="17">
        <f t="shared" si="14"/>
        <v>45</v>
      </c>
      <c r="G56" s="18" t="str">
        <f t="shared" si="15"/>
        <v/>
      </c>
      <c r="H56" s="15" t="str">
        <f t="shared" si="16"/>
        <v>미입력</v>
      </c>
      <c r="I56" s="17">
        <f t="shared" si="17"/>
        <v>60</v>
      </c>
      <c r="J56" s="18" t="str">
        <f t="shared" si="18"/>
        <v/>
      </c>
      <c r="K56" s="15" t="str">
        <f t="shared" si="19"/>
        <v>미입력</v>
      </c>
    </row>
    <row r="57" spans="1:11" ht="18" customHeight="1">
      <c r="A57" s="14">
        <v>46318</v>
      </c>
      <c r="B57" s="15" t="s">
        <v>54</v>
      </c>
      <c r="C57" s="16"/>
      <c r="D57" s="16"/>
      <c r="E57" s="22"/>
      <c r="F57" s="17">
        <f t="shared" si="14"/>
        <v>45</v>
      </c>
      <c r="G57" s="18" t="str">
        <f t="shared" si="15"/>
        <v/>
      </c>
      <c r="H57" s="15" t="str">
        <f t="shared" si="16"/>
        <v>미입력</v>
      </c>
      <c r="I57" s="17">
        <f t="shared" si="17"/>
        <v>60</v>
      </c>
      <c r="J57" s="18" t="str">
        <f t="shared" si="18"/>
        <v/>
      </c>
      <c r="K57" s="15" t="str">
        <f t="shared" si="19"/>
        <v>미입력</v>
      </c>
    </row>
    <row r="58" spans="1:11" ht="18" customHeight="1">
      <c r="A58" s="23">
        <v>46319</v>
      </c>
      <c r="B58" s="24" t="s">
        <v>56</v>
      </c>
      <c r="C58" s="16"/>
      <c r="D58" s="16"/>
      <c r="E58" s="22"/>
      <c r="F58" s="25">
        <f t="shared" si="14"/>
        <v>45</v>
      </c>
      <c r="G58" s="26" t="str">
        <f t="shared" si="15"/>
        <v/>
      </c>
      <c r="H58" s="24" t="str">
        <f t="shared" si="16"/>
        <v>미입력</v>
      </c>
      <c r="I58" s="25">
        <f t="shared" si="17"/>
        <v>60</v>
      </c>
      <c r="J58" s="26" t="str">
        <f t="shared" si="18"/>
        <v/>
      </c>
      <c r="K58" s="24" t="str">
        <f t="shared" si="19"/>
        <v>미입력</v>
      </c>
    </row>
    <row r="59" spans="1:11" ht="18" customHeight="1">
      <c r="A59" s="27">
        <v>46320</v>
      </c>
      <c r="B59" s="28" t="s">
        <v>58</v>
      </c>
      <c r="C59" s="16"/>
      <c r="D59" s="16"/>
      <c r="E59" s="22"/>
      <c r="F59" s="29">
        <f t="shared" si="14"/>
        <v>45</v>
      </c>
      <c r="G59" s="30" t="str">
        <f t="shared" si="15"/>
        <v/>
      </c>
      <c r="H59" s="28" t="str">
        <f t="shared" si="16"/>
        <v>미입력</v>
      </c>
      <c r="I59" s="29">
        <f t="shared" si="17"/>
        <v>60</v>
      </c>
      <c r="J59" s="30" t="str">
        <f t="shared" si="18"/>
        <v/>
      </c>
      <c r="K59" s="28" t="str">
        <f t="shared" si="19"/>
        <v>미입력</v>
      </c>
    </row>
    <row r="60" spans="1:11" ht="18" customHeight="1">
      <c r="A60" s="14">
        <v>46321</v>
      </c>
      <c r="B60" s="15" t="s">
        <v>60</v>
      </c>
      <c r="C60" s="16"/>
      <c r="D60" s="16"/>
      <c r="E60" s="22"/>
      <c r="F60" s="17">
        <f t="shared" si="14"/>
        <v>45</v>
      </c>
      <c r="G60" s="18" t="str">
        <f t="shared" si="15"/>
        <v/>
      </c>
      <c r="H60" s="15" t="str">
        <f t="shared" si="16"/>
        <v>미입력</v>
      </c>
      <c r="I60" s="17">
        <f t="shared" si="17"/>
        <v>60</v>
      </c>
      <c r="J60" s="18" t="str">
        <f t="shared" si="18"/>
        <v/>
      </c>
      <c r="K60" s="15" t="str">
        <f t="shared" si="19"/>
        <v>미입력</v>
      </c>
    </row>
    <row r="61" spans="1:11" ht="18" customHeight="1">
      <c r="A61" s="14">
        <v>46322</v>
      </c>
      <c r="B61" s="15" t="s">
        <v>47</v>
      </c>
      <c r="C61" s="16"/>
      <c r="D61" s="16"/>
      <c r="E61" s="22"/>
      <c r="F61" s="17">
        <f t="shared" si="14"/>
        <v>45</v>
      </c>
      <c r="G61" s="18" t="str">
        <f t="shared" si="15"/>
        <v/>
      </c>
      <c r="H61" s="15" t="str">
        <f t="shared" si="16"/>
        <v>미입력</v>
      </c>
      <c r="I61" s="17">
        <f t="shared" si="17"/>
        <v>60</v>
      </c>
      <c r="J61" s="18" t="str">
        <f t="shared" si="18"/>
        <v/>
      </c>
      <c r="K61" s="15" t="str">
        <f t="shared" si="19"/>
        <v>미입력</v>
      </c>
    </row>
    <row r="62" spans="1:11" ht="18" customHeight="1">
      <c r="A62" s="14">
        <v>46323</v>
      </c>
      <c r="B62" s="15" t="s">
        <v>49</v>
      </c>
      <c r="C62" s="16"/>
      <c r="D62" s="16"/>
      <c r="E62" s="22"/>
      <c r="F62" s="17">
        <f t="shared" si="14"/>
        <v>45</v>
      </c>
      <c r="G62" s="18" t="str">
        <f t="shared" si="15"/>
        <v/>
      </c>
      <c r="H62" s="15" t="str">
        <f t="shared" si="16"/>
        <v>미입력</v>
      </c>
      <c r="I62" s="17">
        <f t="shared" si="17"/>
        <v>60</v>
      </c>
      <c r="J62" s="18" t="str">
        <f t="shared" si="18"/>
        <v/>
      </c>
      <c r="K62" s="15" t="str">
        <f t="shared" si="19"/>
        <v>미입력</v>
      </c>
    </row>
    <row r="63" spans="1:11" ht="18" customHeight="1">
      <c r="A63" s="14">
        <v>46324</v>
      </c>
      <c r="B63" s="15" t="s">
        <v>51</v>
      </c>
      <c r="C63" s="16"/>
      <c r="D63" s="16"/>
      <c r="E63" s="22"/>
      <c r="F63" s="17">
        <f t="shared" si="14"/>
        <v>45</v>
      </c>
      <c r="G63" s="18" t="str">
        <f t="shared" si="15"/>
        <v/>
      </c>
      <c r="H63" s="15" t="str">
        <f t="shared" si="16"/>
        <v>미입력</v>
      </c>
      <c r="I63" s="17">
        <f t="shared" si="17"/>
        <v>60</v>
      </c>
      <c r="J63" s="18" t="str">
        <f t="shared" si="18"/>
        <v/>
      </c>
      <c r="K63" s="15" t="str">
        <f t="shared" si="19"/>
        <v>미입력</v>
      </c>
    </row>
    <row r="64" spans="1:11" ht="18" customHeight="1">
      <c r="A64" s="14">
        <v>46325</v>
      </c>
      <c r="B64" s="15" t="s">
        <v>54</v>
      </c>
      <c r="C64" s="16"/>
      <c r="D64" s="16"/>
      <c r="E64" s="22"/>
      <c r="F64" s="17">
        <f t="shared" si="14"/>
        <v>45</v>
      </c>
      <c r="G64" s="18" t="str">
        <f t="shared" si="15"/>
        <v/>
      </c>
      <c r="H64" s="15" t="str">
        <f t="shared" si="16"/>
        <v>미입력</v>
      </c>
      <c r="I64" s="17">
        <f t="shared" si="17"/>
        <v>60</v>
      </c>
      <c r="J64" s="18" t="str">
        <f t="shared" si="18"/>
        <v/>
      </c>
      <c r="K64" s="15" t="str">
        <f t="shared" si="19"/>
        <v>미입력</v>
      </c>
    </row>
    <row r="65" spans="1:11" ht="18" customHeight="1">
      <c r="A65" s="23">
        <v>46326</v>
      </c>
      <c r="B65" s="24" t="s">
        <v>56</v>
      </c>
      <c r="C65" s="16"/>
      <c r="D65" s="16"/>
      <c r="E65" s="22"/>
      <c r="F65" s="25">
        <f t="shared" si="14"/>
        <v>45</v>
      </c>
      <c r="G65" s="26" t="str">
        <f t="shared" si="15"/>
        <v/>
      </c>
      <c r="H65" s="24" t="str">
        <f t="shared" si="16"/>
        <v>미입력</v>
      </c>
      <c r="I65" s="25">
        <f t="shared" si="17"/>
        <v>60</v>
      </c>
      <c r="J65" s="26" t="str">
        <f t="shared" si="18"/>
        <v/>
      </c>
      <c r="K65" s="24" t="str">
        <f t="shared" si="19"/>
        <v>미입력</v>
      </c>
    </row>
    <row r="66" spans="1:11" ht="18" customHeight="1">
      <c r="A66" s="27">
        <v>46327</v>
      </c>
      <c r="B66" s="28" t="s">
        <v>58</v>
      </c>
      <c r="C66" s="16"/>
      <c r="D66" s="16"/>
      <c r="E66" s="22"/>
      <c r="F66" s="29">
        <f t="shared" si="14"/>
        <v>45</v>
      </c>
      <c r="G66" s="30" t="str">
        <f t="shared" si="15"/>
        <v/>
      </c>
      <c r="H66" s="28" t="str">
        <f t="shared" si="16"/>
        <v>미입력</v>
      </c>
      <c r="I66" s="29">
        <f t="shared" si="17"/>
        <v>60</v>
      </c>
      <c r="J66" s="30" t="str">
        <f t="shared" si="18"/>
        <v/>
      </c>
      <c r="K66" s="28" t="str">
        <f t="shared" si="19"/>
        <v>미입력</v>
      </c>
    </row>
    <row r="67" spans="1:11" ht="18" customHeight="1">
      <c r="A67" s="14">
        <v>46328</v>
      </c>
      <c r="B67" s="15" t="s">
        <v>60</v>
      </c>
      <c r="C67" s="16"/>
      <c r="D67" s="16"/>
      <c r="E67" s="22"/>
      <c r="F67" s="17">
        <f t="shared" si="14"/>
        <v>45</v>
      </c>
      <c r="G67" s="18" t="str">
        <f t="shared" si="15"/>
        <v/>
      </c>
      <c r="H67" s="15" t="str">
        <f t="shared" si="16"/>
        <v>미입력</v>
      </c>
      <c r="I67" s="17">
        <f t="shared" si="17"/>
        <v>60</v>
      </c>
      <c r="J67" s="18" t="str">
        <f t="shared" si="18"/>
        <v/>
      </c>
      <c r="K67" s="15" t="str">
        <f t="shared" si="19"/>
        <v>미입력</v>
      </c>
    </row>
    <row r="68" spans="1:11" ht="18" customHeight="1">
      <c r="A68" s="14">
        <v>46329</v>
      </c>
      <c r="B68" s="15" t="s">
        <v>47</v>
      </c>
      <c r="C68" s="16"/>
      <c r="D68" s="16"/>
      <c r="E68" s="22"/>
      <c r="F68" s="17">
        <f t="shared" si="14"/>
        <v>45</v>
      </c>
      <c r="G68" s="18" t="str">
        <f t="shared" si="15"/>
        <v/>
      </c>
      <c r="H68" s="15" t="str">
        <f t="shared" si="16"/>
        <v>미입력</v>
      </c>
      <c r="I68" s="17">
        <f t="shared" si="17"/>
        <v>60</v>
      </c>
      <c r="J68" s="18" t="str">
        <f t="shared" si="18"/>
        <v/>
      </c>
      <c r="K68" s="15" t="str">
        <f t="shared" si="19"/>
        <v>미입력</v>
      </c>
    </row>
    <row r="69" spans="1:11" ht="18" customHeight="1">
      <c r="A69" s="14">
        <v>46330</v>
      </c>
      <c r="B69" s="15" t="s">
        <v>49</v>
      </c>
      <c r="C69" s="16"/>
      <c r="D69" s="16"/>
      <c r="E69" s="22"/>
      <c r="F69" s="17">
        <f t="shared" ref="F69:F100" si="20">IF(OR($E69="오전반차",$E69="오후반차"),$D$2/2,$D$2)</f>
        <v>45</v>
      </c>
      <c r="G69" s="18" t="str">
        <f t="shared" ref="G69:G100" si="21">IF($C69="","",$C69/$F69)</f>
        <v/>
      </c>
      <c r="H69" s="15" t="str">
        <f t="shared" ref="H69:H100" si="22">IF($C69="",IF($E69="","미입력",$E69),IF($C69&gt;=$F69,"달성","미달"))</f>
        <v>미입력</v>
      </c>
      <c r="I69" s="17">
        <f t="shared" ref="I69:I100" si="23">IF(OR($E69="오전반차",$E69="오후반차"),$F$2/2,$F$2)</f>
        <v>60</v>
      </c>
      <c r="J69" s="18" t="str">
        <f t="shared" ref="J69:J100" si="24">IF($D69="","",$D69/$I69)</f>
        <v/>
      </c>
      <c r="K69" s="15" t="str">
        <f t="shared" ref="K69:K100" si="25">IF($D69="",IF($E69="","미입력",$E69),IF($D69&gt;=$I69,"달성","미달"))</f>
        <v>미입력</v>
      </c>
    </row>
    <row r="70" spans="1:11" ht="18" customHeight="1">
      <c r="A70" s="14">
        <v>46331</v>
      </c>
      <c r="B70" s="15" t="s">
        <v>51</v>
      </c>
      <c r="C70" s="16"/>
      <c r="D70" s="16"/>
      <c r="E70" s="22"/>
      <c r="F70" s="17">
        <f t="shared" si="20"/>
        <v>45</v>
      </c>
      <c r="G70" s="18" t="str">
        <f t="shared" si="21"/>
        <v/>
      </c>
      <c r="H70" s="15" t="str">
        <f t="shared" si="22"/>
        <v>미입력</v>
      </c>
      <c r="I70" s="17">
        <f t="shared" si="23"/>
        <v>60</v>
      </c>
      <c r="J70" s="18" t="str">
        <f t="shared" si="24"/>
        <v/>
      </c>
      <c r="K70" s="15" t="str">
        <f t="shared" si="25"/>
        <v>미입력</v>
      </c>
    </row>
    <row r="71" spans="1:11" ht="18" customHeight="1">
      <c r="A71" s="14">
        <v>46332</v>
      </c>
      <c r="B71" s="15" t="s">
        <v>54</v>
      </c>
      <c r="C71" s="16"/>
      <c r="D71" s="16"/>
      <c r="E71" s="22"/>
      <c r="F71" s="17">
        <f t="shared" si="20"/>
        <v>45</v>
      </c>
      <c r="G71" s="18" t="str">
        <f t="shared" si="21"/>
        <v/>
      </c>
      <c r="H71" s="15" t="str">
        <f t="shared" si="22"/>
        <v>미입력</v>
      </c>
      <c r="I71" s="17">
        <f t="shared" si="23"/>
        <v>60</v>
      </c>
      <c r="J71" s="18" t="str">
        <f t="shared" si="24"/>
        <v/>
      </c>
      <c r="K71" s="15" t="str">
        <f t="shared" si="25"/>
        <v>미입력</v>
      </c>
    </row>
    <row r="72" spans="1:11" ht="18" customHeight="1">
      <c r="A72" s="23">
        <v>46333</v>
      </c>
      <c r="B72" s="24" t="s">
        <v>56</v>
      </c>
      <c r="C72" s="16"/>
      <c r="D72" s="16"/>
      <c r="E72" s="22"/>
      <c r="F72" s="25">
        <f t="shared" si="20"/>
        <v>45</v>
      </c>
      <c r="G72" s="26" t="str">
        <f t="shared" si="21"/>
        <v/>
      </c>
      <c r="H72" s="24" t="str">
        <f t="shared" si="22"/>
        <v>미입력</v>
      </c>
      <c r="I72" s="25">
        <f t="shared" si="23"/>
        <v>60</v>
      </c>
      <c r="J72" s="26" t="str">
        <f t="shared" si="24"/>
        <v/>
      </c>
      <c r="K72" s="24" t="str">
        <f t="shared" si="25"/>
        <v>미입력</v>
      </c>
    </row>
    <row r="73" spans="1:11" ht="18" customHeight="1">
      <c r="A73" s="27">
        <v>46334</v>
      </c>
      <c r="B73" s="28" t="s">
        <v>58</v>
      </c>
      <c r="C73" s="16"/>
      <c r="D73" s="16"/>
      <c r="E73" s="22"/>
      <c r="F73" s="29">
        <f t="shared" si="20"/>
        <v>45</v>
      </c>
      <c r="G73" s="30" t="str">
        <f t="shared" si="21"/>
        <v/>
      </c>
      <c r="H73" s="28" t="str">
        <f t="shared" si="22"/>
        <v>미입력</v>
      </c>
      <c r="I73" s="29">
        <f t="shared" si="23"/>
        <v>60</v>
      </c>
      <c r="J73" s="30" t="str">
        <f t="shared" si="24"/>
        <v/>
      </c>
      <c r="K73" s="28" t="str">
        <f t="shared" si="25"/>
        <v>미입력</v>
      </c>
    </row>
    <row r="74" spans="1:11" ht="18" customHeight="1">
      <c r="A74" s="14">
        <v>46335</v>
      </c>
      <c r="B74" s="15" t="s">
        <v>60</v>
      </c>
      <c r="C74" s="16"/>
      <c r="D74" s="16"/>
      <c r="E74" s="22"/>
      <c r="F74" s="17">
        <f t="shared" si="20"/>
        <v>45</v>
      </c>
      <c r="G74" s="18" t="str">
        <f t="shared" si="21"/>
        <v/>
      </c>
      <c r="H74" s="15" t="str">
        <f t="shared" si="22"/>
        <v>미입력</v>
      </c>
      <c r="I74" s="17">
        <f t="shared" si="23"/>
        <v>60</v>
      </c>
      <c r="J74" s="18" t="str">
        <f t="shared" si="24"/>
        <v/>
      </c>
      <c r="K74" s="15" t="str">
        <f t="shared" si="25"/>
        <v>미입력</v>
      </c>
    </row>
    <row r="75" spans="1:11" ht="18" customHeight="1">
      <c r="A75" s="14">
        <v>46336</v>
      </c>
      <c r="B75" s="15" t="s">
        <v>47</v>
      </c>
      <c r="C75" s="16"/>
      <c r="D75" s="16"/>
      <c r="E75" s="22"/>
      <c r="F75" s="17">
        <f t="shared" si="20"/>
        <v>45</v>
      </c>
      <c r="G75" s="18" t="str">
        <f t="shared" si="21"/>
        <v/>
      </c>
      <c r="H75" s="15" t="str">
        <f t="shared" si="22"/>
        <v>미입력</v>
      </c>
      <c r="I75" s="17">
        <f t="shared" si="23"/>
        <v>60</v>
      </c>
      <c r="J75" s="18" t="str">
        <f t="shared" si="24"/>
        <v/>
      </c>
      <c r="K75" s="15" t="str">
        <f t="shared" si="25"/>
        <v>미입력</v>
      </c>
    </row>
    <row r="76" spans="1:11" ht="18" customHeight="1">
      <c r="A76" s="14">
        <v>46337</v>
      </c>
      <c r="B76" s="15" t="s">
        <v>49</v>
      </c>
      <c r="C76" s="16"/>
      <c r="D76" s="16"/>
      <c r="E76" s="22"/>
      <c r="F76" s="17">
        <f t="shared" si="20"/>
        <v>45</v>
      </c>
      <c r="G76" s="18" t="str">
        <f t="shared" si="21"/>
        <v/>
      </c>
      <c r="H76" s="15" t="str">
        <f t="shared" si="22"/>
        <v>미입력</v>
      </c>
      <c r="I76" s="17">
        <f t="shared" si="23"/>
        <v>60</v>
      </c>
      <c r="J76" s="18" t="str">
        <f t="shared" si="24"/>
        <v/>
      </c>
      <c r="K76" s="15" t="str">
        <f t="shared" si="25"/>
        <v>미입력</v>
      </c>
    </row>
    <row r="77" spans="1:11" ht="18" customHeight="1">
      <c r="A77" s="14">
        <v>46338</v>
      </c>
      <c r="B77" s="15" t="s">
        <v>51</v>
      </c>
      <c r="C77" s="16"/>
      <c r="D77" s="16"/>
      <c r="E77" s="22"/>
      <c r="F77" s="17">
        <f t="shared" si="20"/>
        <v>45</v>
      </c>
      <c r="G77" s="18" t="str">
        <f t="shared" si="21"/>
        <v/>
      </c>
      <c r="H77" s="15" t="str">
        <f t="shared" si="22"/>
        <v>미입력</v>
      </c>
      <c r="I77" s="17">
        <f t="shared" si="23"/>
        <v>60</v>
      </c>
      <c r="J77" s="18" t="str">
        <f t="shared" si="24"/>
        <v/>
      </c>
      <c r="K77" s="15" t="str">
        <f t="shared" si="25"/>
        <v>미입력</v>
      </c>
    </row>
    <row r="78" spans="1:11" ht="18" customHeight="1">
      <c r="A78" s="14">
        <v>46339</v>
      </c>
      <c r="B78" s="15" t="s">
        <v>54</v>
      </c>
      <c r="C78" s="16"/>
      <c r="D78" s="16"/>
      <c r="E78" s="22"/>
      <c r="F78" s="17">
        <f t="shared" si="20"/>
        <v>45</v>
      </c>
      <c r="G78" s="18" t="str">
        <f t="shared" si="21"/>
        <v/>
      </c>
      <c r="H78" s="15" t="str">
        <f t="shared" si="22"/>
        <v>미입력</v>
      </c>
      <c r="I78" s="17">
        <f t="shared" si="23"/>
        <v>60</v>
      </c>
      <c r="J78" s="18" t="str">
        <f t="shared" si="24"/>
        <v/>
      </c>
      <c r="K78" s="15" t="str">
        <f t="shared" si="25"/>
        <v>미입력</v>
      </c>
    </row>
    <row r="79" spans="1:11" ht="18" customHeight="1">
      <c r="A79" s="23">
        <v>46340</v>
      </c>
      <c r="B79" s="24" t="s">
        <v>56</v>
      </c>
      <c r="C79" s="16"/>
      <c r="D79" s="16"/>
      <c r="E79" s="22"/>
      <c r="F79" s="25">
        <f t="shared" si="20"/>
        <v>45</v>
      </c>
      <c r="G79" s="26" t="str">
        <f t="shared" si="21"/>
        <v/>
      </c>
      <c r="H79" s="24" t="str">
        <f t="shared" si="22"/>
        <v>미입력</v>
      </c>
      <c r="I79" s="25">
        <f t="shared" si="23"/>
        <v>60</v>
      </c>
      <c r="J79" s="26" t="str">
        <f t="shared" si="24"/>
        <v/>
      </c>
      <c r="K79" s="24" t="str">
        <f t="shared" si="25"/>
        <v>미입력</v>
      </c>
    </row>
    <row r="80" spans="1:11" ht="18" customHeight="1">
      <c r="A80" s="27">
        <v>46341</v>
      </c>
      <c r="B80" s="28" t="s">
        <v>58</v>
      </c>
      <c r="C80" s="16"/>
      <c r="D80" s="16"/>
      <c r="E80" s="22"/>
      <c r="F80" s="29">
        <f t="shared" si="20"/>
        <v>45</v>
      </c>
      <c r="G80" s="30" t="str">
        <f t="shared" si="21"/>
        <v/>
      </c>
      <c r="H80" s="28" t="str">
        <f t="shared" si="22"/>
        <v>미입력</v>
      </c>
      <c r="I80" s="29">
        <f t="shared" si="23"/>
        <v>60</v>
      </c>
      <c r="J80" s="30" t="str">
        <f t="shared" si="24"/>
        <v/>
      </c>
      <c r="K80" s="28" t="str">
        <f t="shared" si="25"/>
        <v>미입력</v>
      </c>
    </row>
    <row r="81" spans="1:11" ht="18" customHeight="1">
      <c r="A81" s="14">
        <v>46342</v>
      </c>
      <c r="B81" s="15" t="s">
        <v>60</v>
      </c>
      <c r="C81" s="16"/>
      <c r="D81" s="16"/>
      <c r="E81" s="22"/>
      <c r="F81" s="17">
        <f t="shared" si="20"/>
        <v>45</v>
      </c>
      <c r="G81" s="18" t="str">
        <f t="shared" si="21"/>
        <v/>
      </c>
      <c r="H81" s="15" t="str">
        <f t="shared" si="22"/>
        <v>미입력</v>
      </c>
      <c r="I81" s="17">
        <f t="shared" si="23"/>
        <v>60</v>
      </c>
      <c r="J81" s="18" t="str">
        <f t="shared" si="24"/>
        <v/>
      </c>
      <c r="K81" s="15" t="str">
        <f t="shared" si="25"/>
        <v>미입력</v>
      </c>
    </row>
    <row r="82" spans="1:11" ht="18" customHeight="1">
      <c r="A82" s="14">
        <v>46343</v>
      </c>
      <c r="B82" s="15" t="s">
        <v>47</v>
      </c>
      <c r="C82" s="16"/>
      <c r="D82" s="16"/>
      <c r="E82" s="22"/>
      <c r="F82" s="17">
        <f t="shared" si="20"/>
        <v>45</v>
      </c>
      <c r="G82" s="18" t="str">
        <f t="shared" si="21"/>
        <v/>
      </c>
      <c r="H82" s="15" t="str">
        <f t="shared" si="22"/>
        <v>미입력</v>
      </c>
      <c r="I82" s="17">
        <f t="shared" si="23"/>
        <v>60</v>
      </c>
      <c r="J82" s="18" t="str">
        <f t="shared" si="24"/>
        <v/>
      </c>
      <c r="K82" s="15" t="str">
        <f t="shared" si="25"/>
        <v>미입력</v>
      </c>
    </row>
    <row r="83" spans="1:11" ht="18" customHeight="1">
      <c r="A83" s="14">
        <v>46344</v>
      </c>
      <c r="B83" s="15" t="s">
        <v>49</v>
      </c>
      <c r="C83" s="16"/>
      <c r="D83" s="16"/>
      <c r="E83" s="22"/>
      <c r="F83" s="17">
        <f t="shared" si="20"/>
        <v>45</v>
      </c>
      <c r="G83" s="18" t="str">
        <f t="shared" si="21"/>
        <v/>
      </c>
      <c r="H83" s="15" t="str">
        <f t="shared" si="22"/>
        <v>미입력</v>
      </c>
      <c r="I83" s="17">
        <f t="shared" si="23"/>
        <v>60</v>
      </c>
      <c r="J83" s="18" t="str">
        <f t="shared" si="24"/>
        <v/>
      </c>
      <c r="K83" s="15" t="str">
        <f t="shared" si="25"/>
        <v>미입력</v>
      </c>
    </row>
    <row r="84" spans="1:11" ht="18" customHeight="1">
      <c r="A84" s="14">
        <v>46345</v>
      </c>
      <c r="B84" s="15" t="s">
        <v>51</v>
      </c>
      <c r="C84" s="16"/>
      <c r="D84" s="16"/>
      <c r="E84" s="22"/>
      <c r="F84" s="17">
        <f t="shared" si="20"/>
        <v>45</v>
      </c>
      <c r="G84" s="18" t="str">
        <f t="shared" si="21"/>
        <v/>
      </c>
      <c r="H84" s="15" t="str">
        <f t="shared" si="22"/>
        <v>미입력</v>
      </c>
      <c r="I84" s="17">
        <f t="shared" si="23"/>
        <v>60</v>
      </c>
      <c r="J84" s="18" t="str">
        <f t="shared" si="24"/>
        <v/>
      </c>
      <c r="K84" s="15" t="str">
        <f t="shared" si="25"/>
        <v>미입력</v>
      </c>
    </row>
    <row r="85" spans="1:11" ht="18" customHeight="1">
      <c r="A85" s="14">
        <v>46346</v>
      </c>
      <c r="B85" s="15" t="s">
        <v>54</v>
      </c>
      <c r="C85" s="16"/>
      <c r="D85" s="16"/>
      <c r="E85" s="22"/>
      <c r="F85" s="17">
        <f t="shared" si="20"/>
        <v>45</v>
      </c>
      <c r="G85" s="18" t="str">
        <f t="shared" si="21"/>
        <v/>
      </c>
      <c r="H85" s="15" t="str">
        <f t="shared" si="22"/>
        <v>미입력</v>
      </c>
      <c r="I85" s="17">
        <f t="shared" si="23"/>
        <v>60</v>
      </c>
      <c r="J85" s="18" t="str">
        <f t="shared" si="24"/>
        <v/>
      </c>
      <c r="K85" s="15" t="str">
        <f t="shared" si="25"/>
        <v>미입력</v>
      </c>
    </row>
    <row r="86" spans="1:11" ht="18" customHeight="1">
      <c r="A86" s="23">
        <v>46347</v>
      </c>
      <c r="B86" s="24" t="s">
        <v>56</v>
      </c>
      <c r="C86" s="16"/>
      <c r="D86" s="16"/>
      <c r="E86" s="22"/>
      <c r="F86" s="25">
        <f t="shared" si="20"/>
        <v>45</v>
      </c>
      <c r="G86" s="26" t="str">
        <f t="shared" si="21"/>
        <v/>
      </c>
      <c r="H86" s="24" t="str">
        <f t="shared" si="22"/>
        <v>미입력</v>
      </c>
      <c r="I86" s="25">
        <f t="shared" si="23"/>
        <v>60</v>
      </c>
      <c r="J86" s="26" t="str">
        <f t="shared" si="24"/>
        <v/>
      </c>
      <c r="K86" s="24" t="str">
        <f t="shared" si="25"/>
        <v>미입력</v>
      </c>
    </row>
    <row r="87" spans="1:11" ht="18" customHeight="1">
      <c r="A87" s="27">
        <v>46348</v>
      </c>
      <c r="B87" s="28" t="s">
        <v>58</v>
      </c>
      <c r="C87" s="16"/>
      <c r="D87" s="16"/>
      <c r="E87" s="22"/>
      <c r="F87" s="29">
        <f t="shared" si="20"/>
        <v>45</v>
      </c>
      <c r="G87" s="30" t="str">
        <f t="shared" si="21"/>
        <v/>
      </c>
      <c r="H87" s="28" t="str">
        <f t="shared" si="22"/>
        <v>미입력</v>
      </c>
      <c r="I87" s="29">
        <f t="shared" si="23"/>
        <v>60</v>
      </c>
      <c r="J87" s="30" t="str">
        <f t="shared" si="24"/>
        <v/>
      </c>
      <c r="K87" s="28" t="str">
        <f t="shared" si="25"/>
        <v>미입력</v>
      </c>
    </row>
    <row r="88" spans="1:11" ht="18" customHeight="1">
      <c r="A88" s="14">
        <v>46349</v>
      </c>
      <c r="B88" s="15" t="s">
        <v>60</v>
      </c>
      <c r="C88" s="16"/>
      <c r="D88" s="16"/>
      <c r="E88" s="22"/>
      <c r="F88" s="17">
        <f t="shared" si="20"/>
        <v>45</v>
      </c>
      <c r="G88" s="18" t="str">
        <f t="shared" si="21"/>
        <v/>
      </c>
      <c r="H88" s="15" t="str">
        <f t="shared" si="22"/>
        <v>미입력</v>
      </c>
      <c r="I88" s="17">
        <f t="shared" si="23"/>
        <v>60</v>
      </c>
      <c r="J88" s="18" t="str">
        <f t="shared" si="24"/>
        <v/>
      </c>
      <c r="K88" s="15" t="str">
        <f t="shared" si="25"/>
        <v>미입력</v>
      </c>
    </row>
    <row r="89" spans="1:11" ht="18" customHeight="1">
      <c r="A89" s="14">
        <v>46350</v>
      </c>
      <c r="B89" s="15" t="s">
        <v>47</v>
      </c>
      <c r="C89" s="16"/>
      <c r="D89" s="16"/>
      <c r="E89" s="22"/>
      <c r="F89" s="17">
        <f t="shared" si="20"/>
        <v>45</v>
      </c>
      <c r="G89" s="18" t="str">
        <f t="shared" si="21"/>
        <v/>
      </c>
      <c r="H89" s="15" t="str">
        <f t="shared" si="22"/>
        <v>미입력</v>
      </c>
      <c r="I89" s="17">
        <f t="shared" si="23"/>
        <v>60</v>
      </c>
      <c r="J89" s="18" t="str">
        <f t="shared" si="24"/>
        <v/>
      </c>
      <c r="K89" s="15" t="str">
        <f t="shared" si="25"/>
        <v>미입력</v>
      </c>
    </row>
    <row r="90" spans="1:11" ht="18" customHeight="1">
      <c r="A90" s="14">
        <v>46351</v>
      </c>
      <c r="B90" s="15" t="s">
        <v>49</v>
      </c>
      <c r="C90" s="16"/>
      <c r="D90" s="16"/>
      <c r="E90" s="22"/>
      <c r="F90" s="17">
        <f t="shared" si="20"/>
        <v>45</v>
      </c>
      <c r="G90" s="18" t="str">
        <f t="shared" si="21"/>
        <v/>
      </c>
      <c r="H90" s="15" t="str">
        <f t="shared" si="22"/>
        <v>미입력</v>
      </c>
      <c r="I90" s="17">
        <f t="shared" si="23"/>
        <v>60</v>
      </c>
      <c r="J90" s="18" t="str">
        <f t="shared" si="24"/>
        <v/>
      </c>
      <c r="K90" s="15" t="str">
        <f t="shared" si="25"/>
        <v>미입력</v>
      </c>
    </row>
    <row r="91" spans="1:11" ht="18" customHeight="1">
      <c r="A91" s="14">
        <v>46352</v>
      </c>
      <c r="B91" s="15" t="s">
        <v>51</v>
      </c>
      <c r="C91" s="16"/>
      <c r="D91" s="16"/>
      <c r="E91" s="22"/>
      <c r="F91" s="17">
        <f t="shared" si="20"/>
        <v>45</v>
      </c>
      <c r="G91" s="18" t="str">
        <f t="shared" si="21"/>
        <v/>
      </c>
      <c r="H91" s="15" t="str">
        <f t="shared" si="22"/>
        <v>미입력</v>
      </c>
      <c r="I91" s="17">
        <f t="shared" si="23"/>
        <v>60</v>
      </c>
      <c r="J91" s="18" t="str">
        <f t="shared" si="24"/>
        <v/>
      </c>
      <c r="K91" s="15" t="str">
        <f t="shared" si="25"/>
        <v>미입력</v>
      </c>
    </row>
    <row r="92" spans="1:11" ht="18" customHeight="1">
      <c r="A92" s="14">
        <v>46353</v>
      </c>
      <c r="B92" s="15" t="s">
        <v>54</v>
      </c>
      <c r="C92" s="16"/>
      <c r="D92" s="16"/>
      <c r="E92" s="22"/>
      <c r="F92" s="17">
        <f t="shared" si="20"/>
        <v>45</v>
      </c>
      <c r="G92" s="18" t="str">
        <f t="shared" si="21"/>
        <v/>
      </c>
      <c r="H92" s="15" t="str">
        <f t="shared" si="22"/>
        <v>미입력</v>
      </c>
      <c r="I92" s="17">
        <f t="shared" si="23"/>
        <v>60</v>
      </c>
      <c r="J92" s="18" t="str">
        <f t="shared" si="24"/>
        <v/>
      </c>
      <c r="K92" s="15" t="str">
        <f t="shared" si="25"/>
        <v>미입력</v>
      </c>
    </row>
    <row r="93" spans="1:11" ht="18" customHeight="1">
      <c r="A93" s="23">
        <v>46354</v>
      </c>
      <c r="B93" s="24" t="s">
        <v>56</v>
      </c>
      <c r="C93" s="16"/>
      <c r="D93" s="16"/>
      <c r="E93" s="22"/>
      <c r="F93" s="25">
        <f t="shared" si="20"/>
        <v>45</v>
      </c>
      <c r="G93" s="26" t="str">
        <f t="shared" si="21"/>
        <v/>
      </c>
      <c r="H93" s="24" t="str">
        <f t="shared" si="22"/>
        <v>미입력</v>
      </c>
      <c r="I93" s="25">
        <f t="shared" si="23"/>
        <v>60</v>
      </c>
      <c r="J93" s="26" t="str">
        <f t="shared" si="24"/>
        <v/>
      </c>
      <c r="K93" s="24" t="str">
        <f t="shared" si="25"/>
        <v>미입력</v>
      </c>
    </row>
    <row r="94" spans="1:11" ht="18" customHeight="1">
      <c r="A94" s="27">
        <v>46355</v>
      </c>
      <c r="B94" s="28" t="s">
        <v>58</v>
      </c>
      <c r="C94" s="16"/>
      <c r="D94" s="16"/>
      <c r="E94" s="22"/>
      <c r="F94" s="29">
        <f t="shared" si="20"/>
        <v>45</v>
      </c>
      <c r="G94" s="30" t="str">
        <f t="shared" si="21"/>
        <v/>
      </c>
      <c r="H94" s="28" t="str">
        <f t="shared" si="22"/>
        <v>미입력</v>
      </c>
      <c r="I94" s="29">
        <f t="shared" si="23"/>
        <v>60</v>
      </c>
      <c r="J94" s="30" t="str">
        <f t="shared" si="24"/>
        <v/>
      </c>
      <c r="K94" s="28" t="str">
        <f t="shared" si="25"/>
        <v>미입력</v>
      </c>
    </row>
    <row r="95" spans="1:11" ht="18" customHeight="1">
      <c r="A95" s="14">
        <v>46356</v>
      </c>
      <c r="B95" s="15" t="s">
        <v>60</v>
      </c>
      <c r="C95" s="16"/>
      <c r="D95" s="16"/>
      <c r="E95" s="22"/>
      <c r="F95" s="17">
        <f t="shared" si="20"/>
        <v>45</v>
      </c>
      <c r="G95" s="18" t="str">
        <f t="shared" si="21"/>
        <v/>
      </c>
      <c r="H95" s="15" t="str">
        <f t="shared" si="22"/>
        <v>미입력</v>
      </c>
      <c r="I95" s="17">
        <f t="shared" si="23"/>
        <v>60</v>
      </c>
      <c r="J95" s="18" t="str">
        <f t="shared" si="24"/>
        <v/>
      </c>
      <c r="K95" s="15" t="str">
        <f t="shared" si="25"/>
        <v>미입력</v>
      </c>
    </row>
    <row r="96" spans="1:11" ht="18" customHeight="1">
      <c r="A96" s="14">
        <v>46357</v>
      </c>
      <c r="B96" s="15" t="s">
        <v>47</v>
      </c>
      <c r="C96" s="16"/>
      <c r="D96" s="16"/>
      <c r="E96" s="22"/>
      <c r="F96" s="17">
        <f t="shared" si="20"/>
        <v>45</v>
      </c>
      <c r="G96" s="18" t="str">
        <f t="shared" si="21"/>
        <v/>
      </c>
      <c r="H96" s="15" t="str">
        <f t="shared" si="22"/>
        <v>미입력</v>
      </c>
      <c r="I96" s="17">
        <f t="shared" si="23"/>
        <v>60</v>
      </c>
      <c r="J96" s="18" t="str">
        <f t="shared" si="24"/>
        <v/>
      </c>
      <c r="K96" s="15" t="str">
        <f t="shared" si="25"/>
        <v>미입력</v>
      </c>
    </row>
    <row r="97" spans="1:11" ht="18" customHeight="1">
      <c r="A97" s="14">
        <v>46358</v>
      </c>
      <c r="B97" s="15" t="s">
        <v>49</v>
      </c>
      <c r="C97" s="16"/>
      <c r="D97" s="16"/>
      <c r="E97" s="22"/>
      <c r="F97" s="17">
        <f t="shared" si="20"/>
        <v>45</v>
      </c>
      <c r="G97" s="18" t="str">
        <f t="shared" si="21"/>
        <v/>
      </c>
      <c r="H97" s="15" t="str">
        <f t="shared" si="22"/>
        <v>미입력</v>
      </c>
      <c r="I97" s="17">
        <f t="shared" si="23"/>
        <v>60</v>
      </c>
      <c r="J97" s="18" t="str">
        <f t="shared" si="24"/>
        <v/>
      </c>
      <c r="K97" s="15" t="str">
        <f t="shared" si="25"/>
        <v>미입력</v>
      </c>
    </row>
    <row r="98" spans="1:11" ht="18" customHeight="1">
      <c r="A98" s="14">
        <v>46359</v>
      </c>
      <c r="B98" s="15" t="s">
        <v>51</v>
      </c>
      <c r="C98" s="16"/>
      <c r="D98" s="16"/>
      <c r="E98" s="22"/>
      <c r="F98" s="17">
        <f t="shared" si="20"/>
        <v>45</v>
      </c>
      <c r="G98" s="18" t="str">
        <f t="shared" si="21"/>
        <v/>
      </c>
      <c r="H98" s="15" t="str">
        <f t="shared" si="22"/>
        <v>미입력</v>
      </c>
      <c r="I98" s="17">
        <f t="shared" si="23"/>
        <v>60</v>
      </c>
      <c r="J98" s="18" t="str">
        <f t="shared" si="24"/>
        <v/>
      </c>
      <c r="K98" s="15" t="str">
        <f t="shared" si="25"/>
        <v>미입력</v>
      </c>
    </row>
    <row r="99" spans="1:11" ht="18" customHeight="1">
      <c r="A99" s="14">
        <v>46360</v>
      </c>
      <c r="B99" s="15" t="s">
        <v>54</v>
      </c>
      <c r="C99" s="16"/>
      <c r="D99" s="16"/>
      <c r="E99" s="22"/>
      <c r="F99" s="17">
        <f t="shared" si="20"/>
        <v>45</v>
      </c>
      <c r="G99" s="18" t="str">
        <f t="shared" si="21"/>
        <v/>
      </c>
      <c r="H99" s="15" t="str">
        <f t="shared" si="22"/>
        <v>미입력</v>
      </c>
      <c r="I99" s="17">
        <f t="shared" si="23"/>
        <v>60</v>
      </c>
      <c r="J99" s="18" t="str">
        <f t="shared" si="24"/>
        <v/>
      </c>
      <c r="K99" s="15" t="str">
        <f t="shared" si="25"/>
        <v>미입력</v>
      </c>
    </row>
    <row r="100" spans="1:11" ht="18" customHeight="1">
      <c r="A100" s="23">
        <v>46361</v>
      </c>
      <c r="B100" s="24" t="s">
        <v>56</v>
      </c>
      <c r="C100" s="16"/>
      <c r="D100" s="16"/>
      <c r="E100" s="22"/>
      <c r="F100" s="25">
        <f t="shared" si="20"/>
        <v>45</v>
      </c>
      <c r="G100" s="26" t="str">
        <f t="shared" si="21"/>
        <v/>
      </c>
      <c r="H100" s="24" t="str">
        <f t="shared" si="22"/>
        <v>미입력</v>
      </c>
      <c r="I100" s="25">
        <f t="shared" si="23"/>
        <v>60</v>
      </c>
      <c r="J100" s="26" t="str">
        <f t="shared" si="24"/>
        <v/>
      </c>
      <c r="K100" s="24" t="str">
        <f t="shared" si="25"/>
        <v>미입력</v>
      </c>
    </row>
    <row r="101" spans="1:11" ht="18" customHeight="1">
      <c r="A101" s="27">
        <v>46362</v>
      </c>
      <c r="B101" s="28" t="s">
        <v>58</v>
      </c>
      <c r="C101" s="16"/>
      <c r="D101" s="16"/>
      <c r="E101" s="22"/>
      <c r="F101" s="29">
        <f t="shared" ref="F101:F126" si="26">IF(OR($E101="오전반차",$E101="오후반차"),$D$2/2,$D$2)</f>
        <v>45</v>
      </c>
      <c r="G101" s="30" t="str">
        <f t="shared" ref="G101:G126" si="27">IF($C101="","",$C101/$F101)</f>
        <v/>
      </c>
      <c r="H101" s="28" t="str">
        <f t="shared" ref="H101:H126" si="28">IF($C101="",IF($E101="","미입력",$E101),IF($C101&gt;=$F101,"달성","미달"))</f>
        <v>미입력</v>
      </c>
      <c r="I101" s="29">
        <f t="shared" ref="I101:I126" si="29">IF(OR($E101="오전반차",$E101="오후반차"),$F$2/2,$F$2)</f>
        <v>60</v>
      </c>
      <c r="J101" s="30" t="str">
        <f t="shared" ref="J101:J126" si="30">IF($D101="","",$D101/$I101)</f>
        <v/>
      </c>
      <c r="K101" s="28" t="str">
        <f t="shared" ref="K101:K126" si="31">IF($D101="",IF($E101="","미입력",$E101),IF($D101&gt;=$I101,"달성","미달"))</f>
        <v>미입력</v>
      </c>
    </row>
    <row r="102" spans="1:11" ht="18" customHeight="1">
      <c r="A102" s="14">
        <v>46363</v>
      </c>
      <c r="B102" s="15" t="s">
        <v>60</v>
      </c>
      <c r="C102" s="16"/>
      <c r="D102" s="16"/>
      <c r="E102" s="22"/>
      <c r="F102" s="17">
        <f t="shared" si="26"/>
        <v>45</v>
      </c>
      <c r="G102" s="18" t="str">
        <f t="shared" si="27"/>
        <v/>
      </c>
      <c r="H102" s="15" t="str">
        <f t="shared" si="28"/>
        <v>미입력</v>
      </c>
      <c r="I102" s="17">
        <f t="shared" si="29"/>
        <v>60</v>
      </c>
      <c r="J102" s="18" t="str">
        <f t="shared" si="30"/>
        <v/>
      </c>
      <c r="K102" s="15" t="str">
        <f t="shared" si="31"/>
        <v>미입력</v>
      </c>
    </row>
    <row r="103" spans="1:11" ht="18" customHeight="1">
      <c r="A103" s="14">
        <v>46364</v>
      </c>
      <c r="B103" s="15" t="s">
        <v>47</v>
      </c>
      <c r="C103" s="16"/>
      <c r="D103" s="16"/>
      <c r="E103" s="22"/>
      <c r="F103" s="17">
        <f t="shared" si="26"/>
        <v>45</v>
      </c>
      <c r="G103" s="18" t="str">
        <f t="shared" si="27"/>
        <v/>
      </c>
      <c r="H103" s="15" t="str">
        <f t="shared" si="28"/>
        <v>미입력</v>
      </c>
      <c r="I103" s="17">
        <f t="shared" si="29"/>
        <v>60</v>
      </c>
      <c r="J103" s="18" t="str">
        <f t="shared" si="30"/>
        <v/>
      </c>
      <c r="K103" s="15" t="str">
        <f t="shared" si="31"/>
        <v>미입력</v>
      </c>
    </row>
    <row r="104" spans="1:11" ht="18" customHeight="1">
      <c r="A104" s="14">
        <v>46365</v>
      </c>
      <c r="B104" s="15" t="s">
        <v>49</v>
      </c>
      <c r="C104" s="16"/>
      <c r="D104" s="16"/>
      <c r="E104" s="22"/>
      <c r="F104" s="17">
        <f t="shared" si="26"/>
        <v>45</v>
      </c>
      <c r="G104" s="18" t="str">
        <f t="shared" si="27"/>
        <v/>
      </c>
      <c r="H104" s="15" t="str">
        <f t="shared" si="28"/>
        <v>미입력</v>
      </c>
      <c r="I104" s="17">
        <f t="shared" si="29"/>
        <v>60</v>
      </c>
      <c r="J104" s="18" t="str">
        <f t="shared" si="30"/>
        <v/>
      </c>
      <c r="K104" s="15" t="str">
        <f t="shared" si="31"/>
        <v>미입력</v>
      </c>
    </row>
    <row r="105" spans="1:11" ht="18" customHeight="1">
      <c r="A105" s="14">
        <v>46366</v>
      </c>
      <c r="B105" s="15" t="s">
        <v>51</v>
      </c>
      <c r="C105" s="16"/>
      <c r="D105" s="16"/>
      <c r="E105" s="22"/>
      <c r="F105" s="17">
        <f t="shared" si="26"/>
        <v>45</v>
      </c>
      <c r="G105" s="18" t="str">
        <f t="shared" si="27"/>
        <v/>
      </c>
      <c r="H105" s="15" t="str">
        <f t="shared" si="28"/>
        <v>미입력</v>
      </c>
      <c r="I105" s="17">
        <f t="shared" si="29"/>
        <v>60</v>
      </c>
      <c r="J105" s="18" t="str">
        <f t="shared" si="30"/>
        <v/>
      </c>
      <c r="K105" s="15" t="str">
        <f t="shared" si="31"/>
        <v>미입력</v>
      </c>
    </row>
    <row r="106" spans="1:11" ht="18" customHeight="1">
      <c r="A106" s="14">
        <v>46367</v>
      </c>
      <c r="B106" s="15" t="s">
        <v>54</v>
      </c>
      <c r="C106" s="16"/>
      <c r="D106" s="16"/>
      <c r="E106" s="22"/>
      <c r="F106" s="17">
        <f t="shared" si="26"/>
        <v>45</v>
      </c>
      <c r="G106" s="18" t="str">
        <f t="shared" si="27"/>
        <v/>
      </c>
      <c r="H106" s="15" t="str">
        <f t="shared" si="28"/>
        <v>미입력</v>
      </c>
      <c r="I106" s="17">
        <f t="shared" si="29"/>
        <v>60</v>
      </c>
      <c r="J106" s="18" t="str">
        <f t="shared" si="30"/>
        <v/>
      </c>
      <c r="K106" s="15" t="str">
        <f t="shared" si="31"/>
        <v>미입력</v>
      </c>
    </row>
    <row r="107" spans="1:11" ht="18" customHeight="1">
      <c r="A107" s="23">
        <v>46368</v>
      </c>
      <c r="B107" s="24" t="s">
        <v>56</v>
      </c>
      <c r="C107" s="16"/>
      <c r="D107" s="16"/>
      <c r="E107" s="22"/>
      <c r="F107" s="25">
        <f t="shared" si="26"/>
        <v>45</v>
      </c>
      <c r="G107" s="26" t="str">
        <f t="shared" si="27"/>
        <v/>
      </c>
      <c r="H107" s="24" t="str">
        <f t="shared" si="28"/>
        <v>미입력</v>
      </c>
      <c r="I107" s="25">
        <f t="shared" si="29"/>
        <v>60</v>
      </c>
      <c r="J107" s="26" t="str">
        <f t="shared" si="30"/>
        <v/>
      </c>
      <c r="K107" s="24" t="str">
        <f t="shared" si="31"/>
        <v>미입력</v>
      </c>
    </row>
    <row r="108" spans="1:11" ht="18" customHeight="1">
      <c r="A108" s="27">
        <v>46369</v>
      </c>
      <c r="B108" s="28" t="s">
        <v>58</v>
      </c>
      <c r="C108" s="16"/>
      <c r="D108" s="16"/>
      <c r="E108" s="22"/>
      <c r="F108" s="29">
        <f t="shared" si="26"/>
        <v>45</v>
      </c>
      <c r="G108" s="30" t="str">
        <f t="shared" si="27"/>
        <v/>
      </c>
      <c r="H108" s="28" t="str">
        <f t="shared" si="28"/>
        <v>미입력</v>
      </c>
      <c r="I108" s="29">
        <f t="shared" si="29"/>
        <v>60</v>
      </c>
      <c r="J108" s="30" t="str">
        <f t="shared" si="30"/>
        <v/>
      </c>
      <c r="K108" s="28" t="str">
        <f t="shared" si="31"/>
        <v>미입력</v>
      </c>
    </row>
    <row r="109" spans="1:11" ht="18" customHeight="1">
      <c r="A109" s="14">
        <v>46370</v>
      </c>
      <c r="B109" s="15" t="s">
        <v>60</v>
      </c>
      <c r="C109" s="16"/>
      <c r="D109" s="16"/>
      <c r="E109" s="22"/>
      <c r="F109" s="17">
        <f t="shared" si="26"/>
        <v>45</v>
      </c>
      <c r="G109" s="18" t="str">
        <f t="shared" si="27"/>
        <v/>
      </c>
      <c r="H109" s="15" t="str">
        <f t="shared" si="28"/>
        <v>미입력</v>
      </c>
      <c r="I109" s="17">
        <f t="shared" si="29"/>
        <v>60</v>
      </c>
      <c r="J109" s="18" t="str">
        <f t="shared" si="30"/>
        <v/>
      </c>
      <c r="K109" s="15" t="str">
        <f t="shared" si="31"/>
        <v>미입력</v>
      </c>
    </row>
    <row r="110" spans="1:11" ht="18" customHeight="1">
      <c r="A110" s="14">
        <v>46371</v>
      </c>
      <c r="B110" s="15" t="s">
        <v>47</v>
      </c>
      <c r="C110" s="16"/>
      <c r="D110" s="16"/>
      <c r="E110" s="22"/>
      <c r="F110" s="17">
        <f t="shared" si="26"/>
        <v>45</v>
      </c>
      <c r="G110" s="18" t="str">
        <f t="shared" si="27"/>
        <v/>
      </c>
      <c r="H110" s="15" t="str">
        <f t="shared" si="28"/>
        <v>미입력</v>
      </c>
      <c r="I110" s="17">
        <f t="shared" si="29"/>
        <v>60</v>
      </c>
      <c r="J110" s="18" t="str">
        <f t="shared" si="30"/>
        <v/>
      </c>
      <c r="K110" s="15" t="str">
        <f t="shared" si="31"/>
        <v>미입력</v>
      </c>
    </row>
    <row r="111" spans="1:11" ht="18" customHeight="1">
      <c r="A111" s="14">
        <v>46372</v>
      </c>
      <c r="B111" s="15" t="s">
        <v>49</v>
      </c>
      <c r="C111" s="16"/>
      <c r="D111" s="16"/>
      <c r="E111" s="22"/>
      <c r="F111" s="17">
        <f t="shared" si="26"/>
        <v>45</v>
      </c>
      <c r="G111" s="18" t="str">
        <f t="shared" si="27"/>
        <v/>
      </c>
      <c r="H111" s="15" t="str">
        <f t="shared" si="28"/>
        <v>미입력</v>
      </c>
      <c r="I111" s="17">
        <f t="shared" si="29"/>
        <v>60</v>
      </c>
      <c r="J111" s="18" t="str">
        <f t="shared" si="30"/>
        <v/>
      </c>
      <c r="K111" s="15" t="str">
        <f t="shared" si="31"/>
        <v>미입력</v>
      </c>
    </row>
    <row r="112" spans="1:11" ht="18" customHeight="1">
      <c r="A112" s="14">
        <v>46373</v>
      </c>
      <c r="B112" s="15" t="s">
        <v>51</v>
      </c>
      <c r="C112" s="16"/>
      <c r="D112" s="16"/>
      <c r="E112" s="22"/>
      <c r="F112" s="17">
        <f t="shared" si="26"/>
        <v>45</v>
      </c>
      <c r="G112" s="18" t="str">
        <f t="shared" si="27"/>
        <v/>
      </c>
      <c r="H112" s="15" t="str">
        <f t="shared" si="28"/>
        <v>미입력</v>
      </c>
      <c r="I112" s="17">
        <f t="shared" si="29"/>
        <v>60</v>
      </c>
      <c r="J112" s="18" t="str">
        <f t="shared" si="30"/>
        <v/>
      </c>
      <c r="K112" s="15" t="str">
        <f t="shared" si="31"/>
        <v>미입력</v>
      </c>
    </row>
    <row r="113" spans="1:11" ht="18" customHeight="1">
      <c r="A113" s="14">
        <v>46374</v>
      </c>
      <c r="B113" s="15" t="s">
        <v>54</v>
      </c>
      <c r="C113" s="16"/>
      <c r="D113" s="16"/>
      <c r="E113" s="22"/>
      <c r="F113" s="17">
        <f t="shared" si="26"/>
        <v>45</v>
      </c>
      <c r="G113" s="18" t="str">
        <f t="shared" si="27"/>
        <v/>
      </c>
      <c r="H113" s="15" t="str">
        <f t="shared" si="28"/>
        <v>미입력</v>
      </c>
      <c r="I113" s="17">
        <f t="shared" si="29"/>
        <v>60</v>
      </c>
      <c r="J113" s="18" t="str">
        <f t="shared" si="30"/>
        <v/>
      </c>
      <c r="K113" s="15" t="str">
        <f t="shared" si="31"/>
        <v>미입력</v>
      </c>
    </row>
    <row r="114" spans="1:11" ht="18" customHeight="1">
      <c r="A114" s="23">
        <v>46375</v>
      </c>
      <c r="B114" s="24" t="s">
        <v>56</v>
      </c>
      <c r="C114" s="16"/>
      <c r="D114" s="16"/>
      <c r="E114" s="22"/>
      <c r="F114" s="25">
        <f t="shared" si="26"/>
        <v>45</v>
      </c>
      <c r="G114" s="26" t="str">
        <f t="shared" si="27"/>
        <v/>
      </c>
      <c r="H114" s="24" t="str">
        <f t="shared" si="28"/>
        <v>미입력</v>
      </c>
      <c r="I114" s="25">
        <f t="shared" si="29"/>
        <v>60</v>
      </c>
      <c r="J114" s="26" t="str">
        <f t="shared" si="30"/>
        <v/>
      </c>
      <c r="K114" s="24" t="str">
        <f t="shared" si="31"/>
        <v>미입력</v>
      </c>
    </row>
    <row r="115" spans="1:11" ht="18" customHeight="1">
      <c r="A115" s="27">
        <v>46376</v>
      </c>
      <c r="B115" s="28" t="s">
        <v>58</v>
      </c>
      <c r="C115" s="16"/>
      <c r="D115" s="16"/>
      <c r="E115" s="22"/>
      <c r="F115" s="29">
        <f t="shared" si="26"/>
        <v>45</v>
      </c>
      <c r="G115" s="30" t="str">
        <f t="shared" si="27"/>
        <v/>
      </c>
      <c r="H115" s="28" t="str">
        <f t="shared" si="28"/>
        <v>미입력</v>
      </c>
      <c r="I115" s="29">
        <f t="shared" si="29"/>
        <v>60</v>
      </c>
      <c r="J115" s="30" t="str">
        <f t="shared" si="30"/>
        <v/>
      </c>
      <c r="K115" s="28" t="str">
        <f t="shared" si="31"/>
        <v>미입력</v>
      </c>
    </row>
    <row r="116" spans="1:11" ht="18" customHeight="1">
      <c r="A116" s="14">
        <v>46377</v>
      </c>
      <c r="B116" s="15" t="s">
        <v>60</v>
      </c>
      <c r="C116" s="16"/>
      <c r="D116" s="16"/>
      <c r="E116" s="22"/>
      <c r="F116" s="17">
        <f t="shared" si="26"/>
        <v>45</v>
      </c>
      <c r="G116" s="18" t="str">
        <f t="shared" si="27"/>
        <v/>
      </c>
      <c r="H116" s="15" t="str">
        <f t="shared" si="28"/>
        <v>미입력</v>
      </c>
      <c r="I116" s="17">
        <f t="shared" si="29"/>
        <v>60</v>
      </c>
      <c r="J116" s="18" t="str">
        <f t="shared" si="30"/>
        <v/>
      </c>
      <c r="K116" s="15" t="str">
        <f t="shared" si="31"/>
        <v>미입력</v>
      </c>
    </row>
    <row r="117" spans="1:11" ht="18" customHeight="1">
      <c r="A117" s="14">
        <v>46378</v>
      </c>
      <c r="B117" s="15" t="s">
        <v>47</v>
      </c>
      <c r="C117" s="16"/>
      <c r="D117" s="16"/>
      <c r="E117" s="22"/>
      <c r="F117" s="17">
        <f t="shared" si="26"/>
        <v>45</v>
      </c>
      <c r="G117" s="18" t="str">
        <f t="shared" si="27"/>
        <v/>
      </c>
      <c r="H117" s="15" t="str">
        <f t="shared" si="28"/>
        <v>미입력</v>
      </c>
      <c r="I117" s="17">
        <f t="shared" si="29"/>
        <v>60</v>
      </c>
      <c r="J117" s="18" t="str">
        <f t="shared" si="30"/>
        <v/>
      </c>
      <c r="K117" s="15" t="str">
        <f t="shared" si="31"/>
        <v>미입력</v>
      </c>
    </row>
    <row r="118" spans="1:11" ht="18" customHeight="1">
      <c r="A118" s="14">
        <v>46379</v>
      </c>
      <c r="B118" s="15" t="s">
        <v>49</v>
      </c>
      <c r="C118" s="16"/>
      <c r="D118" s="16"/>
      <c r="E118" s="22"/>
      <c r="F118" s="17">
        <f t="shared" si="26"/>
        <v>45</v>
      </c>
      <c r="G118" s="18" t="str">
        <f t="shared" si="27"/>
        <v/>
      </c>
      <c r="H118" s="15" t="str">
        <f t="shared" si="28"/>
        <v>미입력</v>
      </c>
      <c r="I118" s="17">
        <f t="shared" si="29"/>
        <v>60</v>
      </c>
      <c r="J118" s="18" t="str">
        <f t="shared" si="30"/>
        <v/>
      </c>
      <c r="K118" s="15" t="str">
        <f t="shared" si="31"/>
        <v>미입력</v>
      </c>
    </row>
    <row r="119" spans="1:11" ht="18" customHeight="1">
      <c r="A119" s="14">
        <v>46380</v>
      </c>
      <c r="B119" s="15" t="s">
        <v>51</v>
      </c>
      <c r="C119" s="16"/>
      <c r="D119" s="16"/>
      <c r="E119" s="22"/>
      <c r="F119" s="17">
        <f t="shared" si="26"/>
        <v>45</v>
      </c>
      <c r="G119" s="18" t="str">
        <f t="shared" si="27"/>
        <v/>
      </c>
      <c r="H119" s="15" t="str">
        <f t="shared" si="28"/>
        <v>미입력</v>
      </c>
      <c r="I119" s="17">
        <f t="shared" si="29"/>
        <v>60</v>
      </c>
      <c r="J119" s="18" t="str">
        <f t="shared" si="30"/>
        <v/>
      </c>
      <c r="K119" s="15" t="str">
        <f t="shared" si="31"/>
        <v>미입력</v>
      </c>
    </row>
    <row r="120" spans="1:11" ht="18" customHeight="1">
      <c r="A120" s="14">
        <v>46381</v>
      </c>
      <c r="B120" s="15" t="s">
        <v>54</v>
      </c>
      <c r="C120" s="16"/>
      <c r="D120" s="16"/>
      <c r="E120" s="22"/>
      <c r="F120" s="17">
        <f t="shared" si="26"/>
        <v>45</v>
      </c>
      <c r="G120" s="18" t="str">
        <f t="shared" si="27"/>
        <v/>
      </c>
      <c r="H120" s="15" t="str">
        <f t="shared" si="28"/>
        <v>미입력</v>
      </c>
      <c r="I120" s="17">
        <f t="shared" si="29"/>
        <v>60</v>
      </c>
      <c r="J120" s="18" t="str">
        <f t="shared" si="30"/>
        <v/>
      </c>
      <c r="K120" s="15" t="str">
        <f t="shared" si="31"/>
        <v>미입력</v>
      </c>
    </row>
    <row r="121" spans="1:11" ht="18" customHeight="1">
      <c r="A121" s="23">
        <v>46382</v>
      </c>
      <c r="B121" s="24" t="s">
        <v>56</v>
      </c>
      <c r="C121" s="16"/>
      <c r="D121" s="16"/>
      <c r="E121" s="22"/>
      <c r="F121" s="25">
        <f t="shared" si="26"/>
        <v>45</v>
      </c>
      <c r="G121" s="26" t="str">
        <f t="shared" si="27"/>
        <v/>
      </c>
      <c r="H121" s="24" t="str">
        <f t="shared" si="28"/>
        <v>미입력</v>
      </c>
      <c r="I121" s="25">
        <f t="shared" si="29"/>
        <v>60</v>
      </c>
      <c r="J121" s="26" t="str">
        <f t="shared" si="30"/>
        <v/>
      </c>
      <c r="K121" s="24" t="str">
        <f t="shared" si="31"/>
        <v>미입력</v>
      </c>
    </row>
    <row r="122" spans="1:11" ht="18" customHeight="1">
      <c r="A122" s="27">
        <v>46383</v>
      </c>
      <c r="B122" s="28" t="s">
        <v>58</v>
      </c>
      <c r="C122" s="16"/>
      <c r="D122" s="16"/>
      <c r="E122" s="22"/>
      <c r="F122" s="29">
        <f t="shared" si="26"/>
        <v>45</v>
      </c>
      <c r="G122" s="30" t="str">
        <f t="shared" si="27"/>
        <v/>
      </c>
      <c r="H122" s="28" t="str">
        <f t="shared" si="28"/>
        <v>미입력</v>
      </c>
      <c r="I122" s="29">
        <f t="shared" si="29"/>
        <v>60</v>
      </c>
      <c r="J122" s="30" t="str">
        <f t="shared" si="30"/>
        <v/>
      </c>
      <c r="K122" s="28" t="str">
        <f t="shared" si="31"/>
        <v>미입력</v>
      </c>
    </row>
    <row r="123" spans="1:11" ht="18" customHeight="1">
      <c r="A123" s="14">
        <v>46384</v>
      </c>
      <c r="B123" s="15" t="s">
        <v>60</v>
      </c>
      <c r="C123" s="16"/>
      <c r="D123" s="16"/>
      <c r="E123" s="22"/>
      <c r="F123" s="17">
        <f t="shared" si="26"/>
        <v>45</v>
      </c>
      <c r="G123" s="18" t="str">
        <f t="shared" si="27"/>
        <v/>
      </c>
      <c r="H123" s="15" t="str">
        <f t="shared" si="28"/>
        <v>미입력</v>
      </c>
      <c r="I123" s="17">
        <f t="shared" si="29"/>
        <v>60</v>
      </c>
      <c r="J123" s="18" t="str">
        <f t="shared" si="30"/>
        <v/>
      </c>
      <c r="K123" s="15" t="str">
        <f t="shared" si="31"/>
        <v>미입력</v>
      </c>
    </row>
    <row r="124" spans="1:11" ht="18" customHeight="1">
      <c r="A124" s="14">
        <v>46385</v>
      </c>
      <c r="B124" s="15" t="s">
        <v>47</v>
      </c>
      <c r="C124" s="16"/>
      <c r="D124" s="16"/>
      <c r="E124" s="22"/>
      <c r="F124" s="17">
        <f t="shared" si="26"/>
        <v>45</v>
      </c>
      <c r="G124" s="18" t="str">
        <f t="shared" si="27"/>
        <v/>
      </c>
      <c r="H124" s="15" t="str">
        <f t="shared" si="28"/>
        <v>미입력</v>
      </c>
      <c r="I124" s="17">
        <f t="shared" si="29"/>
        <v>60</v>
      </c>
      <c r="J124" s="18" t="str">
        <f t="shared" si="30"/>
        <v/>
      </c>
      <c r="K124" s="15" t="str">
        <f t="shared" si="31"/>
        <v>미입력</v>
      </c>
    </row>
    <row r="125" spans="1:11" ht="18" customHeight="1">
      <c r="A125" s="14">
        <v>46386</v>
      </c>
      <c r="B125" s="15" t="s">
        <v>49</v>
      </c>
      <c r="C125" s="16"/>
      <c r="D125" s="16"/>
      <c r="E125" s="22"/>
      <c r="F125" s="17">
        <f t="shared" si="26"/>
        <v>45</v>
      </c>
      <c r="G125" s="18" t="str">
        <f t="shared" si="27"/>
        <v/>
      </c>
      <c r="H125" s="15" t="str">
        <f t="shared" si="28"/>
        <v>미입력</v>
      </c>
      <c r="I125" s="17">
        <f t="shared" si="29"/>
        <v>60</v>
      </c>
      <c r="J125" s="18" t="str">
        <f t="shared" si="30"/>
        <v/>
      </c>
      <c r="K125" s="15" t="str">
        <f t="shared" si="31"/>
        <v>미입력</v>
      </c>
    </row>
    <row r="126" spans="1:11" ht="18" customHeight="1">
      <c r="A126" s="14">
        <v>46387</v>
      </c>
      <c r="B126" s="15" t="s">
        <v>51</v>
      </c>
      <c r="C126" s="16"/>
      <c r="D126" s="16"/>
      <c r="E126" s="22"/>
      <c r="F126" s="17">
        <f t="shared" si="26"/>
        <v>45</v>
      </c>
      <c r="G126" s="18" t="str">
        <f t="shared" si="27"/>
        <v/>
      </c>
      <c r="H126" s="15" t="str">
        <f t="shared" si="28"/>
        <v>미입력</v>
      </c>
      <c r="I126" s="17">
        <f t="shared" si="29"/>
        <v>60</v>
      </c>
      <c r="J126" s="18" t="str">
        <f t="shared" si="30"/>
        <v/>
      </c>
      <c r="K126" s="15" t="str">
        <f t="shared" si="31"/>
        <v>미입력</v>
      </c>
    </row>
  </sheetData>
  <mergeCells count="5">
    <mergeCell ref="A1:K1"/>
    <mergeCell ref="M1:X1"/>
    <mergeCell ref="H2:K2"/>
    <mergeCell ref="A3:K3"/>
    <mergeCell ref="M3:X3"/>
  </mergeCells>
  <phoneticPr fontId="19" type="noConversion"/>
  <conditionalFormatting sqref="A5:B126">
    <cfRule type="expression" dxfId="41" priority="14">
      <formula>$A5=TODAY()</formula>
    </cfRule>
  </conditionalFormatting>
  <conditionalFormatting sqref="H5:H126">
    <cfRule type="expression" dxfId="40" priority="2">
      <formula>H5="달성"</formula>
    </cfRule>
    <cfRule type="expression" dxfId="39" priority="3">
      <formula>H5="미달"</formula>
    </cfRule>
    <cfRule type="expression" dxfId="38" priority="4">
      <formula>H5="미입력"</formula>
    </cfRule>
  </conditionalFormatting>
  <conditionalFormatting sqref="K5:K126">
    <cfRule type="expression" dxfId="37" priority="5">
      <formula>K5="달성"</formula>
    </cfRule>
    <cfRule type="expression" dxfId="36" priority="6">
      <formula>K5="미달"</formula>
    </cfRule>
    <cfRule type="expression" dxfId="35" priority="7">
      <formula>K5="미입력"</formula>
    </cfRule>
  </conditionalFormatting>
  <conditionalFormatting sqref="S5:S24">
    <cfRule type="expression" dxfId="34" priority="8">
      <formula>S5="달성"</formula>
    </cfRule>
    <cfRule type="expression" dxfId="33" priority="9">
      <formula>S5="미달"</formula>
    </cfRule>
    <cfRule type="expression" dxfId="32" priority="10">
      <formula>S5="미입력"</formula>
    </cfRule>
  </conditionalFormatting>
  <conditionalFormatting sqref="W5:W24">
    <cfRule type="expression" dxfId="31" priority="11">
      <formula>W5="달성"</formula>
    </cfRule>
    <cfRule type="expression" dxfId="30" priority="12">
      <formula>W5="미달"</formula>
    </cfRule>
    <cfRule type="expression" dxfId="29" priority="13">
      <formula>W5="미입력"</formula>
    </cfRule>
  </conditionalFormatting>
  <dataValidations count="1">
    <dataValidation type="list" allowBlank="1" sqref="E5:E126" xr:uid="{00000000-0002-0000-0400-000000000000}">
      <formula1>"휴무,연차,오전반차,오후반차,입사전,기타"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X126"/>
  <sheetViews>
    <sheetView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X10" sqref="X10"/>
    </sheetView>
  </sheetViews>
  <sheetFormatPr defaultColWidth="8.7109375" defaultRowHeight="17.25" customHeight="1"/>
  <cols>
    <col min="1" max="1" width="12" customWidth="1"/>
    <col min="2" max="2" width="6" customWidth="1"/>
    <col min="3" max="6" width="10" customWidth="1"/>
    <col min="7" max="7" width="11" customWidth="1"/>
    <col min="8" max="8" width="13" customWidth="1"/>
    <col min="9" max="9" width="10" customWidth="1"/>
    <col min="10" max="10" width="11" customWidth="1"/>
    <col min="11" max="11" width="13" customWidth="1"/>
    <col min="12" max="12" width="2" customWidth="1"/>
    <col min="13" max="13" width="11" customWidth="1"/>
    <col min="14" max="15" width="9" customWidth="1"/>
    <col min="16" max="16" width="10" customWidth="1"/>
    <col min="17" max="17" width="13" customWidth="1"/>
    <col min="18" max="18" width="11" customWidth="1"/>
    <col min="19" max="19" width="13" customWidth="1"/>
    <col min="20" max="20" width="10" customWidth="1"/>
    <col min="21" max="21" width="13" customWidth="1"/>
    <col min="22" max="22" width="11" customWidth="1"/>
    <col min="23" max="23" width="13" customWidth="1"/>
    <col min="24" max="24" width="60" customWidth="1"/>
  </cols>
  <sheetData>
    <row r="1" spans="1:24" ht="17.25" customHeight="1">
      <c r="A1" s="57" t="s">
        <v>88</v>
      </c>
      <c r="B1" s="57"/>
      <c r="C1" s="57"/>
      <c r="D1" s="57"/>
      <c r="E1" s="57"/>
      <c r="F1" s="57"/>
      <c r="G1" s="57"/>
      <c r="H1" s="57"/>
      <c r="I1" s="57"/>
      <c r="J1" s="57"/>
      <c r="K1" s="57"/>
      <c r="M1" s="58" t="s">
        <v>89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7.25" customHeight="1">
      <c r="A2" s="10" t="s">
        <v>26</v>
      </c>
      <c r="B2" s="11" t="s">
        <v>84</v>
      </c>
      <c r="C2" s="10" t="s">
        <v>28</v>
      </c>
      <c r="D2" s="11">
        <v>45</v>
      </c>
      <c r="E2" s="10" t="s">
        <v>29</v>
      </c>
      <c r="F2" s="11">
        <v>60</v>
      </c>
      <c r="G2" s="12"/>
      <c r="H2" s="59"/>
      <c r="I2" s="59"/>
      <c r="J2" s="59"/>
      <c r="K2" s="59"/>
    </row>
    <row r="3" spans="1:24" ht="17.25" customHeight="1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s="60" t="s">
        <v>31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7.25" customHeight="1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28</v>
      </c>
      <c r="G4" s="10" t="s">
        <v>37</v>
      </c>
      <c r="H4" s="10" t="s">
        <v>38</v>
      </c>
      <c r="I4" s="10" t="s">
        <v>29</v>
      </c>
      <c r="J4" s="10" t="s">
        <v>39</v>
      </c>
      <c r="K4" s="10" t="s">
        <v>40</v>
      </c>
      <c r="M4" s="13" t="s">
        <v>41</v>
      </c>
      <c r="N4" s="13" t="s">
        <v>42</v>
      </c>
      <c r="O4" s="13" t="s">
        <v>43</v>
      </c>
      <c r="P4" s="13" t="s">
        <v>28</v>
      </c>
      <c r="Q4" s="13" t="s">
        <v>44</v>
      </c>
      <c r="R4" s="13" t="s">
        <v>37</v>
      </c>
      <c r="S4" s="13" t="s">
        <v>38</v>
      </c>
      <c r="T4" s="13" t="s">
        <v>29</v>
      </c>
      <c r="U4" s="13" t="s">
        <v>45</v>
      </c>
      <c r="V4" s="13" t="s">
        <v>39</v>
      </c>
      <c r="W4" s="13" t="s">
        <v>40</v>
      </c>
      <c r="X4" s="13" t="s">
        <v>46</v>
      </c>
    </row>
    <row r="5" spans="1:24" ht="17.25" customHeight="1">
      <c r="A5" s="14">
        <v>46266</v>
      </c>
      <c r="B5" s="15" t="s">
        <v>47</v>
      </c>
      <c r="C5" s="16">
        <v>35</v>
      </c>
      <c r="D5" s="16">
        <v>49</v>
      </c>
      <c r="E5" s="16"/>
      <c r="F5" s="17">
        <f t="shared" ref="F5:F36" si="0">IF(OR($E5="오전반차",$E5="오후반차"),$D$2/2,$D$2)</f>
        <v>45</v>
      </c>
      <c r="G5" s="18">
        <f t="shared" ref="G5:G36" si="1">IF($C5="","",$C5/$F5)</f>
        <v>0.77777777777777779</v>
      </c>
      <c r="H5" s="15" t="str">
        <f t="shared" ref="H5:H36" si="2">IF($C5="",IF($E5="","미입력",$E5),IF($C5&gt;=$F5,"달성","미달"))</f>
        <v>미달</v>
      </c>
      <c r="I5" s="17">
        <f t="shared" ref="I5:I36" si="3">IF(OR($E5="오전반차",$E5="오후반차"),$F$2/2,$F$2)</f>
        <v>60</v>
      </c>
      <c r="J5" s="18">
        <f t="shared" ref="J5:J36" si="4">IF($D5="","",$D5/$I5)</f>
        <v>0.81666666666666665</v>
      </c>
      <c r="K5" s="15" t="str">
        <f t="shared" ref="K5:K36" si="5">IF($D5="",IF($E5="","미입력",$E5),IF($D5&gt;=$I5,"달성","미달"))</f>
        <v>미달</v>
      </c>
      <c r="M5" s="1" t="s">
        <v>48</v>
      </c>
      <c r="N5" s="19">
        <v>46266</v>
      </c>
      <c r="O5" s="19">
        <v>46271</v>
      </c>
      <c r="P5" s="17">
        <f t="shared" ref="P5:P24" si="6">IFERROR(SUMPRODUCT(($A$5:$A$126&gt;=$N5)*($A$5:$A$126&lt;=$O5)*ISNUMBER($C$5:$C$126)*$F$5:$F$126)/SUMPRODUCT(($A$5:$A$126&gt;=$N5)*($A$5:$A$126&lt;=$O5)*ISNUMBER($C$5:$C$126)),"")</f>
        <v>45</v>
      </c>
      <c r="Q5" s="20">
        <f t="shared" ref="Q5:Q24" si="7">IFERROR(AVERAGEIFS($C$5:$C$126,$A$5:$A$126,"&gt;="&amp;$N5,$A$5:$A$126,"&lt;="&amp;$O5),"")</f>
        <v>33.4</v>
      </c>
      <c r="R5" s="18">
        <f t="shared" ref="R5:R24" si="8">IF(OR($Q5="",$P5=""),"",$Q5/$P5)</f>
        <v>0.74222222222222223</v>
      </c>
      <c r="S5" s="15" t="str">
        <f t="shared" ref="S5:S24" si="9">IF(OR($Q5="",$P5=""),"미입력",IF($Q5&gt;=$P5,"달성","미달"))</f>
        <v>미달</v>
      </c>
      <c r="T5" s="17">
        <f t="shared" ref="T5:T24" si="10">IFERROR(SUMPRODUCT(($A$5:$A$126&gt;=$N5)*($A$5:$A$126&lt;=$O5)*ISNUMBER($D$5:$D$126)*$I$5:$I$126)/SUMPRODUCT(($A$5:$A$126&gt;=$N5)*($A$5:$A$126&lt;=$O5)*ISNUMBER($D$5:$D$126)),"")</f>
        <v>60</v>
      </c>
      <c r="U5" s="20">
        <f t="shared" ref="U5:U24" si="11">IFERROR(AVERAGEIFS($D$5:$D$126,$A$5:$A$126,"&gt;="&amp;$N5,$A$5:$A$126,"&lt;="&amp;$O5),"")</f>
        <v>54.8</v>
      </c>
      <c r="V5" s="18">
        <f t="shared" ref="V5:V24" si="12">IF(OR($U5="",$T5=""),"",$U5/$T5)</f>
        <v>0.91333333333333333</v>
      </c>
      <c r="W5" s="15" t="str">
        <f t="shared" ref="W5:W24" si="13">IF(OR($U5="",$T5=""),"미입력",IF($U5&gt;=$T5,"달성","미달"))</f>
        <v>미달</v>
      </c>
      <c r="X5" s="31" t="s">
        <v>90</v>
      </c>
    </row>
    <row r="6" spans="1:24" ht="17.25" customHeight="1">
      <c r="A6" s="14">
        <v>46267</v>
      </c>
      <c r="B6" s="15" t="s">
        <v>49</v>
      </c>
      <c r="C6" s="16"/>
      <c r="D6" s="16"/>
      <c r="E6" s="22" t="s">
        <v>52</v>
      </c>
      <c r="F6" s="17">
        <f t="shared" si="0"/>
        <v>45</v>
      </c>
      <c r="G6" s="18" t="str">
        <f t="shared" si="1"/>
        <v/>
      </c>
      <c r="H6" s="15" t="str">
        <f t="shared" si="2"/>
        <v>휴무</v>
      </c>
      <c r="I6" s="17">
        <f t="shared" si="3"/>
        <v>60</v>
      </c>
      <c r="J6" s="18" t="str">
        <f t="shared" si="4"/>
        <v/>
      </c>
      <c r="K6" s="15" t="str">
        <f t="shared" si="5"/>
        <v>휴무</v>
      </c>
      <c r="M6" s="1" t="s">
        <v>50</v>
      </c>
      <c r="N6" s="19">
        <v>46272</v>
      </c>
      <c r="O6" s="19">
        <v>46278</v>
      </c>
      <c r="P6" s="17">
        <f t="shared" si="6"/>
        <v>45</v>
      </c>
      <c r="Q6" s="20">
        <f t="shared" si="7"/>
        <v>26.8</v>
      </c>
      <c r="R6" s="18">
        <f t="shared" si="8"/>
        <v>0.59555555555555562</v>
      </c>
      <c r="S6" s="15" t="str">
        <f t="shared" si="9"/>
        <v>미달</v>
      </c>
      <c r="T6" s="17">
        <f t="shared" si="10"/>
        <v>60</v>
      </c>
      <c r="U6" s="20">
        <f t="shared" si="11"/>
        <v>65.599999999999994</v>
      </c>
      <c r="V6" s="18">
        <f t="shared" si="12"/>
        <v>1.0933333333333333</v>
      </c>
      <c r="W6" s="15" t="str">
        <f t="shared" si="13"/>
        <v>달성</v>
      </c>
      <c r="X6" s="31" t="s">
        <v>91</v>
      </c>
    </row>
    <row r="7" spans="1:24" ht="17.25" customHeight="1">
      <c r="A7" s="14">
        <v>46268</v>
      </c>
      <c r="B7" s="15" t="s">
        <v>51</v>
      </c>
      <c r="C7" s="16">
        <v>28</v>
      </c>
      <c r="D7" s="16">
        <v>58</v>
      </c>
      <c r="E7" s="16"/>
      <c r="F7" s="17">
        <f t="shared" si="0"/>
        <v>45</v>
      </c>
      <c r="G7" s="18">
        <f t="shared" si="1"/>
        <v>0.62222222222222223</v>
      </c>
      <c r="H7" s="15" t="str">
        <f t="shared" si="2"/>
        <v>미달</v>
      </c>
      <c r="I7" s="17">
        <f t="shared" si="3"/>
        <v>60</v>
      </c>
      <c r="J7" s="18">
        <f t="shared" si="4"/>
        <v>0.96666666666666667</v>
      </c>
      <c r="K7" s="15" t="str">
        <f t="shared" si="5"/>
        <v>미달</v>
      </c>
      <c r="M7" s="1" t="s">
        <v>53</v>
      </c>
      <c r="N7" s="19">
        <v>46279</v>
      </c>
      <c r="O7" s="19">
        <v>46285</v>
      </c>
      <c r="P7" s="17">
        <f t="shared" si="6"/>
        <v>45</v>
      </c>
      <c r="Q7" s="20">
        <f t="shared" si="7"/>
        <v>38.799999999999997</v>
      </c>
      <c r="R7" s="18">
        <f t="shared" si="8"/>
        <v>0.86222222222222211</v>
      </c>
      <c r="S7" s="15" t="str">
        <f t="shared" si="9"/>
        <v>미달</v>
      </c>
      <c r="T7" s="17">
        <f t="shared" si="10"/>
        <v>60</v>
      </c>
      <c r="U7" s="20">
        <f t="shared" si="11"/>
        <v>66.8</v>
      </c>
      <c r="V7" s="18">
        <f t="shared" si="12"/>
        <v>1.1133333333333333</v>
      </c>
      <c r="W7" s="15" t="str">
        <f t="shared" si="13"/>
        <v>달성</v>
      </c>
      <c r="X7" s="31" t="s">
        <v>92</v>
      </c>
    </row>
    <row r="8" spans="1:24" ht="17.25" customHeight="1">
      <c r="A8" s="14">
        <v>46269</v>
      </c>
      <c r="B8" s="15" t="s">
        <v>54</v>
      </c>
      <c r="C8" s="16">
        <v>39</v>
      </c>
      <c r="D8" s="16">
        <v>72</v>
      </c>
      <c r="E8" s="16"/>
      <c r="F8" s="17">
        <f t="shared" si="0"/>
        <v>45</v>
      </c>
      <c r="G8" s="18">
        <f t="shared" si="1"/>
        <v>0.8666666666666667</v>
      </c>
      <c r="H8" s="15" t="str">
        <f t="shared" si="2"/>
        <v>미달</v>
      </c>
      <c r="I8" s="17">
        <f t="shared" si="3"/>
        <v>60</v>
      </c>
      <c r="J8" s="18">
        <f t="shared" si="4"/>
        <v>1.2</v>
      </c>
      <c r="K8" s="15" t="str">
        <f t="shared" si="5"/>
        <v>달성</v>
      </c>
      <c r="M8" s="1" t="s">
        <v>55</v>
      </c>
      <c r="N8" s="19">
        <v>46286</v>
      </c>
      <c r="O8" s="19">
        <v>46292</v>
      </c>
      <c r="P8" s="17">
        <f t="shared" si="6"/>
        <v>45</v>
      </c>
      <c r="Q8" s="20">
        <f t="shared" si="7"/>
        <v>41.6</v>
      </c>
      <c r="R8" s="18">
        <f t="shared" si="8"/>
        <v>0.92444444444444451</v>
      </c>
      <c r="S8" s="15" t="str">
        <f t="shared" si="9"/>
        <v>미달</v>
      </c>
      <c r="T8" s="17">
        <f t="shared" si="10"/>
        <v>60</v>
      </c>
      <c r="U8" s="20">
        <f t="shared" si="11"/>
        <v>53.4</v>
      </c>
      <c r="V8" s="18">
        <f t="shared" si="12"/>
        <v>0.89</v>
      </c>
      <c r="W8" s="15" t="str">
        <f t="shared" si="13"/>
        <v>미달</v>
      </c>
      <c r="X8" s="21" t="s">
        <v>128</v>
      </c>
    </row>
    <row r="9" spans="1:24" ht="17.25" customHeight="1">
      <c r="A9" s="23">
        <v>46270</v>
      </c>
      <c r="B9" s="24" t="s">
        <v>56</v>
      </c>
      <c r="C9" s="16">
        <v>29</v>
      </c>
      <c r="D9" s="16">
        <v>56</v>
      </c>
      <c r="E9" s="16"/>
      <c r="F9" s="25">
        <f t="shared" si="0"/>
        <v>45</v>
      </c>
      <c r="G9" s="26">
        <f t="shared" si="1"/>
        <v>0.64444444444444449</v>
      </c>
      <c r="H9" s="24" t="str">
        <f t="shared" si="2"/>
        <v>미달</v>
      </c>
      <c r="I9" s="25">
        <f t="shared" si="3"/>
        <v>60</v>
      </c>
      <c r="J9" s="26">
        <f t="shared" si="4"/>
        <v>0.93333333333333335</v>
      </c>
      <c r="K9" s="24" t="str">
        <f t="shared" si="5"/>
        <v>미달</v>
      </c>
      <c r="M9" s="1" t="s">
        <v>57</v>
      </c>
      <c r="N9" s="19">
        <v>46293</v>
      </c>
      <c r="O9" s="19">
        <v>46299</v>
      </c>
      <c r="P9" s="17">
        <f t="shared" si="6"/>
        <v>45</v>
      </c>
      <c r="Q9" s="20">
        <f t="shared" si="7"/>
        <v>33.200000000000003</v>
      </c>
      <c r="R9" s="18">
        <f t="shared" si="8"/>
        <v>0.73777777777777787</v>
      </c>
      <c r="S9" s="15" t="str">
        <f t="shared" si="9"/>
        <v>미달</v>
      </c>
      <c r="T9" s="17">
        <f t="shared" si="10"/>
        <v>60</v>
      </c>
      <c r="U9" s="20">
        <f t="shared" si="11"/>
        <v>70.400000000000006</v>
      </c>
      <c r="V9" s="18">
        <f t="shared" si="12"/>
        <v>1.1733333333333333</v>
      </c>
      <c r="W9" s="15" t="str">
        <f t="shared" si="13"/>
        <v>달성</v>
      </c>
      <c r="X9" s="21" t="s">
        <v>145</v>
      </c>
    </row>
    <row r="10" spans="1:24" ht="17.25" customHeight="1">
      <c r="A10" s="27">
        <v>46271</v>
      </c>
      <c r="B10" s="28" t="s">
        <v>58</v>
      </c>
      <c r="C10" s="16">
        <v>36</v>
      </c>
      <c r="D10" s="16">
        <v>39</v>
      </c>
      <c r="E10" s="16"/>
      <c r="F10" s="29">
        <f t="shared" si="0"/>
        <v>45</v>
      </c>
      <c r="G10" s="30">
        <f t="shared" si="1"/>
        <v>0.8</v>
      </c>
      <c r="H10" s="28" t="str">
        <f t="shared" si="2"/>
        <v>미달</v>
      </c>
      <c r="I10" s="29">
        <f t="shared" si="3"/>
        <v>60</v>
      </c>
      <c r="J10" s="30">
        <f t="shared" si="4"/>
        <v>0.65</v>
      </c>
      <c r="K10" s="28" t="str">
        <f t="shared" si="5"/>
        <v>미달</v>
      </c>
      <c r="M10" s="1" t="s">
        <v>136</v>
      </c>
      <c r="N10" s="19">
        <v>46300</v>
      </c>
      <c r="O10" s="19">
        <v>46306</v>
      </c>
      <c r="P10" s="17" t="str">
        <f t="shared" si="6"/>
        <v/>
      </c>
      <c r="Q10" s="20" t="str">
        <f t="shared" si="7"/>
        <v/>
      </c>
      <c r="R10" s="18" t="str">
        <f t="shared" si="8"/>
        <v/>
      </c>
      <c r="S10" s="15" t="str">
        <f t="shared" si="9"/>
        <v>미입력</v>
      </c>
      <c r="T10" s="17" t="str">
        <f t="shared" si="10"/>
        <v/>
      </c>
      <c r="U10" s="20" t="str">
        <f t="shared" si="11"/>
        <v/>
      </c>
      <c r="V10" s="18" t="str">
        <f t="shared" si="12"/>
        <v/>
      </c>
      <c r="W10" s="15" t="str">
        <f t="shared" si="13"/>
        <v>미입력</v>
      </c>
      <c r="X10" s="21"/>
    </row>
    <row r="11" spans="1:24" ht="17.25" customHeight="1">
      <c r="A11" s="14">
        <v>46272</v>
      </c>
      <c r="B11" s="15" t="s">
        <v>60</v>
      </c>
      <c r="C11" s="16">
        <v>49</v>
      </c>
      <c r="D11" s="16">
        <v>84</v>
      </c>
      <c r="E11" s="16"/>
      <c r="F11" s="17">
        <f t="shared" si="0"/>
        <v>45</v>
      </c>
      <c r="G11" s="18">
        <f t="shared" si="1"/>
        <v>1.0888888888888888</v>
      </c>
      <c r="H11" s="15" t="str">
        <f t="shared" si="2"/>
        <v>달성</v>
      </c>
      <c r="I11" s="17">
        <f t="shared" si="3"/>
        <v>60</v>
      </c>
      <c r="J11" s="18">
        <f t="shared" si="4"/>
        <v>1.4</v>
      </c>
      <c r="K11" s="15" t="str">
        <f t="shared" si="5"/>
        <v>달성</v>
      </c>
      <c r="M11" s="1" t="s">
        <v>137</v>
      </c>
      <c r="N11" s="19">
        <v>46302</v>
      </c>
      <c r="O11" s="19">
        <v>46308</v>
      </c>
      <c r="P11" s="17" t="str">
        <f t="shared" si="6"/>
        <v/>
      </c>
      <c r="Q11" s="20" t="str">
        <f t="shared" si="7"/>
        <v/>
      </c>
      <c r="R11" s="18" t="str">
        <f t="shared" si="8"/>
        <v/>
      </c>
      <c r="S11" s="15" t="str">
        <f t="shared" si="9"/>
        <v>미입력</v>
      </c>
      <c r="T11" s="17" t="str">
        <f t="shared" si="10"/>
        <v/>
      </c>
      <c r="U11" s="20" t="str">
        <f t="shared" si="11"/>
        <v/>
      </c>
      <c r="V11" s="18" t="str">
        <f t="shared" si="12"/>
        <v/>
      </c>
      <c r="W11" s="15" t="str">
        <f t="shared" si="13"/>
        <v>미입력</v>
      </c>
      <c r="X11" s="21"/>
    </row>
    <row r="12" spans="1:24" ht="17.25" customHeight="1">
      <c r="A12" s="14">
        <v>46273</v>
      </c>
      <c r="B12" s="15" t="s">
        <v>47</v>
      </c>
      <c r="C12" s="16">
        <v>32</v>
      </c>
      <c r="D12" s="16">
        <v>64</v>
      </c>
      <c r="E12" s="16"/>
      <c r="F12" s="17">
        <f t="shared" si="0"/>
        <v>45</v>
      </c>
      <c r="G12" s="18">
        <f t="shared" si="1"/>
        <v>0.71111111111111114</v>
      </c>
      <c r="H12" s="15" t="str">
        <f t="shared" si="2"/>
        <v>미달</v>
      </c>
      <c r="I12" s="17">
        <f t="shared" si="3"/>
        <v>60</v>
      </c>
      <c r="J12" s="18">
        <f t="shared" si="4"/>
        <v>1.0666666666666667</v>
      </c>
      <c r="K12" s="15" t="str">
        <f t="shared" si="5"/>
        <v>달성</v>
      </c>
      <c r="M12" s="1" t="s">
        <v>138</v>
      </c>
      <c r="N12" s="19">
        <v>46309</v>
      </c>
      <c r="O12" s="19">
        <v>46315</v>
      </c>
      <c r="P12" s="17" t="str">
        <f t="shared" si="6"/>
        <v/>
      </c>
      <c r="Q12" s="20" t="str">
        <f t="shared" si="7"/>
        <v/>
      </c>
      <c r="R12" s="18" t="str">
        <f t="shared" si="8"/>
        <v/>
      </c>
      <c r="S12" s="15" t="str">
        <f t="shared" si="9"/>
        <v>미입력</v>
      </c>
      <c r="T12" s="17" t="str">
        <f t="shared" si="10"/>
        <v/>
      </c>
      <c r="U12" s="20" t="str">
        <f t="shared" si="11"/>
        <v/>
      </c>
      <c r="V12" s="18" t="str">
        <f t="shared" si="12"/>
        <v/>
      </c>
      <c r="W12" s="15" t="str">
        <f t="shared" si="13"/>
        <v>미입력</v>
      </c>
      <c r="X12" s="21"/>
    </row>
    <row r="13" spans="1:24" ht="17.25" customHeight="1">
      <c r="A13" s="14">
        <v>46274</v>
      </c>
      <c r="B13" s="15" t="s">
        <v>49</v>
      </c>
      <c r="C13" s="16"/>
      <c r="D13" s="16"/>
      <c r="E13" s="22" t="s">
        <v>52</v>
      </c>
      <c r="F13" s="17">
        <f t="shared" si="0"/>
        <v>45</v>
      </c>
      <c r="G13" s="18" t="str">
        <f t="shared" si="1"/>
        <v/>
      </c>
      <c r="H13" s="15" t="str">
        <f t="shared" si="2"/>
        <v>휴무</v>
      </c>
      <c r="I13" s="17">
        <f t="shared" si="3"/>
        <v>60</v>
      </c>
      <c r="J13" s="18" t="str">
        <f t="shared" si="4"/>
        <v/>
      </c>
      <c r="K13" s="15" t="str">
        <f t="shared" si="5"/>
        <v>휴무</v>
      </c>
      <c r="M13" s="1" t="s">
        <v>139</v>
      </c>
      <c r="N13" s="19">
        <v>46316</v>
      </c>
      <c r="O13" s="19">
        <v>46322</v>
      </c>
      <c r="P13" s="17" t="str">
        <f t="shared" si="6"/>
        <v/>
      </c>
      <c r="Q13" s="20" t="str">
        <f t="shared" si="7"/>
        <v/>
      </c>
      <c r="R13" s="18" t="str">
        <f t="shared" si="8"/>
        <v/>
      </c>
      <c r="S13" s="15" t="str">
        <f t="shared" si="9"/>
        <v>미입력</v>
      </c>
      <c r="T13" s="17" t="str">
        <f t="shared" si="10"/>
        <v/>
      </c>
      <c r="U13" s="20" t="str">
        <f t="shared" si="11"/>
        <v/>
      </c>
      <c r="V13" s="18" t="str">
        <f t="shared" si="12"/>
        <v/>
      </c>
      <c r="W13" s="15" t="str">
        <f t="shared" si="13"/>
        <v>미입력</v>
      </c>
      <c r="X13" s="21"/>
    </row>
    <row r="14" spans="1:24" ht="17.25" customHeight="1">
      <c r="A14" s="14">
        <v>46275</v>
      </c>
      <c r="B14" s="15" t="s">
        <v>51</v>
      </c>
      <c r="C14" s="16"/>
      <c r="D14" s="16"/>
      <c r="E14" s="22" t="s">
        <v>52</v>
      </c>
      <c r="F14" s="17">
        <f t="shared" si="0"/>
        <v>45</v>
      </c>
      <c r="G14" s="18" t="str">
        <f t="shared" si="1"/>
        <v/>
      </c>
      <c r="H14" s="15" t="str">
        <f t="shared" si="2"/>
        <v>휴무</v>
      </c>
      <c r="I14" s="17">
        <f t="shared" si="3"/>
        <v>60</v>
      </c>
      <c r="J14" s="18" t="str">
        <f t="shared" si="4"/>
        <v/>
      </c>
      <c r="K14" s="15" t="str">
        <f t="shared" si="5"/>
        <v>휴무</v>
      </c>
      <c r="M14" s="1"/>
      <c r="N14" s="19">
        <v>46323</v>
      </c>
      <c r="O14" s="19">
        <v>46326</v>
      </c>
      <c r="P14" s="17" t="str">
        <f t="shared" si="6"/>
        <v/>
      </c>
      <c r="Q14" s="20" t="str">
        <f t="shared" si="7"/>
        <v/>
      </c>
      <c r="R14" s="18" t="str">
        <f t="shared" si="8"/>
        <v/>
      </c>
      <c r="S14" s="15" t="str">
        <f t="shared" si="9"/>
        <v>미입력</v>
      </c>
      <c r="T14" s="17" t="str">
        <f t="shared" si="10"/>
        <v/>
      </c>
      <c r="U14" s="20" t="str">
        <f t="shared" si="11"/>
        <v/>
      </c>
      <c r="V14" s="18" t="str">
        <f t="shared" si="12"/>
        <v/>
      </c>
      <c r="W14" s="15" t="str">
        <f t="shared" si="13"/>
        <v>미입력</v>
      </c>
      <c r="X14" s="21"/>
    </row>
    <row r="15" spans="1:24" ht="17.25" customHeight="1">
      <c r="A15" s="14">
        <v>46276</v>
      </c>
      <c r="B15" s="15" t="s">
        <v>54</v>
      </c>
      <c r="C15" s="16">
        <v>21</v>
      </c>
      <c r="D15" s="16">
        <v>78</v>
      </c>
      <c r="E15" s="16"/>
      <c r="F15" s="17">
        <f t="shared" si="0"/>
        <v>45</v>
      </c>
      <c r="G15" s="18">
        <f t="shared" si="1"/>
        <v>0.46666666666666667</v>
      </c>
      <c r="H15" s="15" t="str">
        <f t="shared" si="2"/>
        <v>미달</v>
      </c>
      <c r="I15" s="17">
        <f t="shared" si="3"/>
        <v>60</v>
      </c>
      <c r="J15" s="18">
        <f t="shared" si="4"/>
        <v>1.3</v>
      </c>
      <c r="K15" s="15" t="str">
        <f t="shared" si="5"/>
        <v>달성</v>
      </c>
      <c r="M15" s="1" t="s">
        <v>65</v>
      </c>
      <c r="N15" s="19">
        <v>46327</v>
      </c>
      <c r="O15" s="19">
        <v>46332</v>
      </c>
      <c r="P15" s="17" t="str">
        <f t="shared" si="6"/>
        <v/>
      </c>
      <c r="Q15" s="20" t="str">
        <f t="shared" si="7"/>
        <v/>
      </c>
      <c r="R15" s="18" t="str">
        <f t="shared" si="8"/>
        <v/>
      </c>
      <c r="S15" s="15" t="str">
        <f t="shared" si="9"/>
        <v>미입력</v>
      </c>
      <c r="T15" s="17" t="str">
        <f t="shared" si="10"/>
        <v/>
      </c>
      <c r="U15" s="20" t="str">
        <f t="shared" si="11"/>
        <v/>
      </c>
      <c r="V15" s="18" t="str">
        <f t="shared" si="12"/>
        <v/>
      </c>
      <c r="W15" s="15" t="str">
        <f t="shared" si="13"/>
        <v>미입력</v>
      </c>
      <c r="X15" s="21"/>
    </row>
    <row r="16" spans="1:24" ht="17.25" customHeight="1">
      <c r="A16" s="23">
        <v>46277</v>
      </c>
      <c r="B16" s="24" t="s">
        <v>56</v>
      </c>
      <c r="C16" s="16">
        <v>12</v>
      </c>
      <c r="D16" s="16">
        <v>51</v>
      </c>
      <c r="E16" s="16"/>
      <c r="F16" s="25">
        <f t="shared" si="0"/>
        <v>45</v>
      </c>
      <c r="G16" s="26">
        <f t="shared" si="1"/>
        <v>0.26666666666666666</v>
      </c>
      <c r="H16" s="24" t="str">
        <f t="shared" si="2"/>
        <v>미달</v>
      </c>
      <c r="I16" s="25">
        <f t="shared" si="3"/>
        <v>60</v>
      </c>
      <c r="J16" s="26">
        <f t="shared" si="4"/>
        <v>0.85</v>
      </c>
      <c r="K16" s="24" t="str">
        <f t="shared" si="5"/>
        <v>미달</v>
      </c>
      <c r="M16" s="1" t="s">
        <v>66</v>
      </c>
      <c r="N16" s="19">
        <v>46333</v>
      </c>
      <c r="O16" s="19">
        <v>46339</v>
      </c>
      <c r="P16" s="17" t="str">
        <f t="shared" si="6"/>
        <v/>
      </c>
      <c r="Q16" s="20" t="str">
        <f t="shared" si="7"/>
        <v/>
      </c>
      <c r="R16" s="18" t="str">
        <f t="shared" si="8"/>
        <v/>
      </c>
      <c r="S16" s="15" t="str">
        <f t="shared" si="9"/>
        <v>미입력</v>
      </c>
      <c r="T16" s="17" t="str">
        <f t="shared" si="10"/>
        <v/>
      </c>
      <c r="U16" s="20" t="str">
        <f t="shared" si="11"/>
        <v/>
      </c>
      <c r="V16" s="18" t="str">
        <f t="shared" si="12"/>
        <v/>
      </c>
      <c r="W16" s="15" t="str">
        <f t="shared" si="13"/>
        <v>미입력</v>
      </c>
      <c r="X16" s="21"/>
    </row>
    <row r="17" spans="1:24" ht="17.25" customHeight="1">
      <c r="A17" s="27">
        <v>46278</v>
      </c>
      <c r="B17" s="28" t="s">
        <v>58</v>
      </c>
      <c r="C17" s="16">
        <v>20</v>
      </c>
      <c r="D17" s="16">
        <v>51</v>
      </c>
      <c r="E17" s="16"/>
      <c r="F17" s="29">
        <f t="shared" si="0"/>
        <v>45</v>
      </c>
      <c r="G17" s="30">
        <f t="shared" si="1"/>
        <v>0.44444444444444442</v>
      </c>
      <c r="H17" s="28" t="str">
        <f t="shared" si="2"/>
        <v>미달</v>
      </c>
      <c r="I17" s="29">
        <f t="shared" si="3"/>
        <v>60</v>
      </c>
      <c r="J17" s="30">
        <f t="shared" si="4"/>
        <v>0.85</v>
      </c>
      <c r="K17" s="28" t="str">
        <f t="shared" si="5"/>
        <v>미달</v>
      </c>
      <c r="M17" s="1" t="s">
        <v>67</v>
      </c>
      <c r="N17" s="19">
        <v>46340</v>
      </c>
      <c r="O17" s="19">
        <v>46346</v>
      </c>
      <c r="P17" s="17" t="str">
        <f t="shared" si="6"/>
        <v/>
      </c>
      <c r="Q17" s="20" t="str">
        <f t="shared" si="7"/>
        <v/>
      </c>
      <c r="R17" s="18" t="str">
        <f t="shared" si="8"/>
        <v/>
      </c>
      <c r="S17" s="15" t="str">
        <f t="shared" si="9"/>
        <v>미입력</v>
      </c>
      <c r="T17" s="17" t="str">
        <f t="shared" si="10"/>
        <v/>
      </c>
      <c r="U17" s="20" t="str">
        <f t="shared" si="11"/>
        <v/>
      </c>
      <c r="V17" s="18" t="str">
        <f t="shared" si="12"/>
        <v/>
      </c>
      <c r="W17" s="15" t="str">
        <f t="shared" si="13"/>
        <v>미입력</v>
      </c>
      <c r="X17" s="21"/>
    </row>
    <row r="18" spans="1:24" ht="17.25" customHeight="1">
      <c r="A18" s="14">
        <v>46279</v>
      </c>
      <c r="B18" s="15" t="s">
        <v>60</v>
      </c>
      <c r="C18" s="16"/>
      <c r="D18" s="16"/>
      <c r="E18" s="22" t="s">
        <v>52</v>
      </c>
      <c r="F18" s="17">
        <f t="shared" si="0"/>
        <v>45</v>
      </c>
      <c r="G18" s="18" t="str">
        <f t="shared" si="1"/>
        <v/>
      </c>
      <c r="H18" s="15" t="str">
        <f t="shared" si="2"/>
        <v>휴무</v>
      </c>
      <c r="I18" s="17">
        <f t="shared" si="3"/>
        <v>60</v>
      </c>
      <c r="J18" s="18" t="str">
        <f t="shared" si="4"/>
        <v/>
      </c>
      <c r="K18" s="15" t="str">
        <f t="shared" si="5"/>
        <v>휴무</v>
      </c>
      <c r="M18" s="1" t="s">
        <v>68</v>
      </c>
      <c r="N18" s="19">
        <v>46347</v>
      </c>
      <c r="O18" s="19">
        <v>46353</v>
      </c>
      <c r="P18" s="17" t="str">
        <f t="shared" si="6"/>
        <v/>
      </c>
      <c r="Q18" s="20" t="str">
        <f t="shared" si="7"/>
        <v/>
      </c>
      <c r="R18" s="18" t="str">
        <f t="shared" si="8"/>
        <v/>
      </c>
      <c r="S18" s="15" t="str">
        <f t="shared" si="9"/>
        <v>미입력</v>
      </c>
      <c r="T18" s="17" t="str">
        <f t="shared" si="10"/>
        <v/>
      </c>
      <c r="U18" s="20" t="str">
        <f t="shared" si="11"/>
        <v/>
      </c>
      <c r="V18" s="18" t="str">
        <f t="shared" si="12"/>
        <v/>
      </c>
      <c r="W18" s="15" t="str">
        <f t="shared" si="13"/>
        <v>미입력</v>
      </c>
      <c r="X18" s="21"/>
    </row>
    <row r="19" spans="1:24" ht="17.25" customHeight="1">
      <c r="A19" s="14">
        <v>46280</v>
      </c>
      <c r="B19" s="15" t="s">
        <v>47</v>
      </c>
      <c r="C19" s="16">
        <v>20</v>
      </c>
      <c r="D19" s="16">
        <v>66</v>
      </c>
      <c r="E19" s="16"/>
      <c r="F19" s="17">
        <f t="shared" si="0"/>
        <v>45</v>
      </c>
      <c r="G19" s="18">
        <f t="shared" si="1"/>
        <v>0.44444444444444442</v>
      </c>
      <c r="H19" s="15" t="str">
        <f t="shared" si="2"/>
        <v>미달</v>
      </c>
      <c r="I19" s="17">
        <f t="shared" si="3"/>
        <v>60</v>
      </c>
      <c r="J19" s="18">
        <f t="shared" si="4"/>
        <v>1.1000000000000001</v>
      </c>
      <c r="K19" s="15" t="str">
        <f t="shared" si="5"/>
        <v>달성</v>
      </c>
      <c r="M19" s="1" t="s">
        <v>69</v>
      </c>
      <c r="N19" s="19">
        <v>46354</v>
      </c>
      <c r="O19" s="19">
        <v>46356</v>
      </c>
      <c r="P19" s="17" t="str">
        <f t="shared" si="6"/>
        <v/>
      </c>
      <c r="Q19" s="20" t="str">
        <f t="shared" si="7"/>
        <v/>
      </c>
      <c r="R19" s="18" t="str">
        <f t="shared" si="8"/>
        <v/>
      </c>
      <c r="S19" s="15" t="str">
        <f t="shared" si="9"/>
        <v>미입력</v>
      </c>
      <c r="T19" s="17" t="str">
        <f t="shared" si="10"/>
        <v/>
      </c>
      <c r="U19" s="20" t="str">
        <f t="shared" si="11"/>
        <v/>
      </c>
      <c r="V19" s="18" t="str">
        <f t="shared" si="12"/>
        <v/>
      </c>
      <c r="W19" s="15" t="str">
        <f t="shared" si="13"/>
        <v>미입력</v>
      </c>
      <c r="X19" s="21"/>
    </row>
    <row r="20" spans="1:24" ht="17.25" customHeight="1">
      <c r="A20" s="14">
        <v>46281</v>
      </c>
      <c r="B20" s="15" t="s">
        <v>49</v>
      </c>
      <c r="C20" s="16"/>
      <c r="D20" s="16"/>
      <c r="E20" s="22" t="s">
        <v>52</v>
      </c>
      <c r="F20" s="17">
        <f t="shared" si="0"/>
        <v>45</v>
      </c>
      <c r="G20" s="18" t="str">
        <f t="shared" si="1"/>
        <v/>
      </c>
      <c r="H20" s="15" t="str">
        <f t="shared" si="2"/>
        <v>휴무</v>
      </c>
      <c r="I20" s="17">
        <f t="shared" si="3"/>
        <v>60</v>
      </c>
      <c r="J20" s="18" t="str">
        <f t="shared" si="4"/>
        <v/>
      </c>
      <c r="K20" s="15" t="str">
        <f t="shared" si="5"/>
        <v>휴무</v>
      </c>
      <c r="M20" s="1" t="s">
        <v>70</v>
      </c>
      <c r="N20" s="19">
        <v>46357</v>
      </c>
      <c r="O20" s="19">
        <v>46362</v>
      </c>
      <c r="P20" s="17" t="str">
        <f t="shared" si="6"/>
        <v/>
      </c>
      <c r="Q20" s="20" t="str">
        <f t="shared" si="7"/>
        <v/>
      </c>
      <c r="R20" s="18" t="str">
        <f t="shared" si="8"/>
        <v/>
      </c>
      <c r="S20" s="15" t="str">
        <f t="shared" si="9"/>
        <v>미입력</v>
      </c>
      <c r="T20" s="17" t="str">
        <f t="shared" si="10"/>
        <v/>
      </c>
      <c r="U20" s="20" t="str">
        <f t="shared" si="11"/>
        <v/>
      </c>
      <c r="V20" s="18" t="str">
        <f t="shared" si="12"/>
        <v/>
      </c>
      <c r="W20" s="15" t="str">
        <f t="shared" si="13"/>
        <v>미입력</v>
      </c>
      <c r="X20" s="21"/>
    </row>
    <row r="21" spans="1:24" ht="17.25" customHeight="1">
      <c r="A21" s="14">
        <v>46282</v>
      </c>
      <c r="B21" s="15" t="s">
        <v>51</v>
      </c>
      <c r="C21" s="16">
        <v>26</v>
      </c>
      <c r="D21" s="16">
        <v>72</v>
      </c>
      <c r="E21" s="16"/>
      <c r="F21" s="17">
        <f t="shared" si="0"/>
        <v>45</v>
      </c>
      <c r="G21" s="18">
        <f t="shared" si="1"/>
        <v>0.57777777777777772</v>
      </c>
      <c r="H21" s="15" t="str">
        <f t="shared" si="2"/>
        <v>미달</v>
      </c>
      <c r="I21" s="17">
        <f t="shared" si="3"/>
        <v>60</v>
      </c>
      <c r="J21" s="18">
        <f t="shared" si="4"/>
        <v>1.2</v>
      </c>
      <c r="K21" s="15" t="str">
        <f t="shared" si="5"/>
        <v>달성</v>
      </c>
      <c r="M21" s="1" t="s">
        <v>71</v>
      </c>
      <c r="N21" s="19">
        <v>46363</v>
      </c>
      <c r="O21" s="19">
        <v>46369</v>
      </c>
      <c r="P21" s="17" t="str">
        <f t="shared" si="6"/>
        <v/>
      </c>
      <c r="Q21" s="20" t="str">
        <f t="shared" si="7"/>
        <v/>
      </c>
      <c r="R21" s="18" t="str">
        <f t="shared" si="8"/>
        <v/>
      </c>
      <c r="S21" s="15" t="str">
        <f t="shared" si="9"/>
        <v>미입력</v>
      </c>
      <c r="T21" s="17" t="str">
        <f t="shared" si="10"/>
        <v/>
      </c>
      <c r="U21" s="20" t="str">
        <f t="shared" si="11"/>
        <v/>
      </c>
      <c r="V21" s="18" t="str">
        <f t="shared" si="12"/>
        <v/>
      </c>
      <c r="W21" s="15" t="str">
        <f t="shared" si="13"/>
        <v>미입력</v>
      </c>
      <c r="X21" s="21"/>
    </row>
    <row r="22" spans="1:24" ht="17.25" customHeight="1">
      <c r="A22" s="14">
        <v>46283</v>
      </c>
      <c r="B22" s="15" t="s">
        <v>54</v>
      </c>
      <c r="C22" s="16">
        <v>48</v>
      </c>
      <c r="D22" s="16">
        <v>74</v>
      </c>
      <c r="E22" s="16"/>
      <c r="F22" s="17">
        <f t="shared" si="0"/>
        <v>45</v>
      </c>
      <c r="G22" s="18">
        <f t="shared" si="1"/>
        <v>1.0666666666666667</v>
      </c>
      <c r="H22" s="15" t="str">
        <f t="shared" si="2"/>
        <v>달성</v>
      </c>
      <c r="I22" s="17">
        <f t="shared" si="3"/>
        <v>60</v>
      </c>
      <c r="J22" s="18">
        <f t="shared" si="4"/>
        <v>1.2333333333333334</v>
      </c>
      <c r="K22" s="15" t="str">
        <f t="shared" si="5"/>
        <v>달성</v>
      </c>
      <c r="M22" s="1" t="s">
        <v>72</v>
      </c>
      <c r="N22" s="19">
        <v>46370</v>
      </c>
      <c r="O22" s="19">
        <v>46376</v>
      </c>
      <c r="P22" s="17" t="str">
        <f t="shared" si="6"/>
        <v/>
      </c>
      <c r="Q22" s="20" t="str">
        <f t="shared" si="7"/>
        <v/>
      </c>
      <c r="R22" s="18" t="str">
        <f t="shared" si="8"/>
        <v/>
      </c>
      <c r="S22" s="15" t="str">
        <f t="shared" si="9"/>
        <v>미입력</v>
      </c>
      <c r="T22" s="17" t="str">
        <f t="shared" si="10"/>
        <v/>
      </c>
      <c r="U22" s="20" t="str">
        <f t="shared" si="11"/>
        <v/>
      </c>
      <c r="V22" s="18" t="str">
        <f t="shared" si="12"/>
        <v/>
      </c>
      <c r="W22" s="15" t="str">
        <f t="shared" si="13"/>
        <v>미입력</v>
      </c>
      <c r="X22" s="21"/>
    </row>
    <row r="23" spans="1:24" ht="17.25" customHeight="1">
      <c r="A23" s="23">
        <v>46284</v>
      </c>
      <c r="B23" s="24" t="s">
        <v>56</v>
      </c>
      <c r="C23" s="16">
        <v>56</v>
      </c>
      <c r="D23" s="16">
        <v>59</v>
      </c>
      <c r="E23" s="16"/>
      <c r="F23" s="25">
        <f t="shared" si="0"/>
        <v>45</v>
      </c>
      <c r="G23" s="26">
        <f t="shared" si="1"/>
        <v>1.2444444444444445</v>
      </c>
      <c r="H23" s="24" t="str">
        <f t="shared" si="2"/>
        <v>달성</v>
      </c>
      <c r="I23" s="25">
        <f t="shared" si="3"/>
        <v>60</v>
      </c>
      <c r="J23" s="26">
        <f t="shared" si="4"/>
        <v>0.98333333333333328</v>
      </c>
      <c r="K23" s="24" t="str">
        <f t="shared" si="5"/>
        <v>미달</v>
      </c>
      <c r="M23" s="1" t="s">
        <v>73</v>
      </c>
      <c r="N23" s="19">
        <v>46377</v>
      </c>
      <c r="O23" s="19">
        <v>46383</v>
      </c>
      <c r="P23" s="17" t="str">
        <f t="shared" si="6"/>
        <v/>
      </c>
      <c r="Q23" s="20" t="str">
        <f t="shared" si="7"/>
        <v/>
      </c>
      <c r="R23" s="18" t="str">
        <f t="shared" si="8"/>
        <v/>
      </c>
      <c r="S23" s="15" t="str">
        <f t="shared" si="9"/>
        <v>미입력</v>
      </c>
      <c r="T23" s="17" t="str">
        <f t="shared" si="10"/>
        <v/>
      </c>
      <c r="U23" s="20" t="str">
        <f t="shared" si="11"/>
        <v/>
      </c>
      <c r="V23" s="18" t="str">
        <f t="shared" si="12"/>
        <v/>
      </c>
      <c r="W23" s="15" t="str">
        <f t="shared" si="13"/>
        <v>미입력</v>
      </c>
      <c r="X23" s="21"/>
    </row>
    <row r="24" spans="1:24" ht="17.25" customHeight="1">
      <c r="A24" s="27">
        <v>46285</v>
      </c>
      <c r="B24" s="28" t="s">
        <v>58</v>
      </c>
      <c r="C24" s="16">
        <v>44</v>
      </c>
      <c r="D24" s="16">
        <v>63</v>
      </c>
      <c r="E24" s="16"/>
      <c r="F24" s="29">
        <f t="shared" si="0"/>
        <v>45</v>
      </c>
      <c r="G24" s="30">
        <f t="shared" si="1"/>
        <v>0.97777777777777775</v>
      </c>
      <c r="H24" s="28" t="str">
        <f t="shared" si="2"/>
        <v>미달</v>
      </c>
      <c r="I24" s="29">
        <f t="shared" si="3"/>
        <v>60</v>
      </c>
      <c r="J24" s="30">
        <f t="shared" si="4"/>
        <v>1.05</v>
      </c>
      <c r="K24" s="28" t="str">
        <f t="shared" si="5"/>
        <v>달성</v>
      </c>
      <c r="M24" s="1" t="s">
        <v>74</v>
      </c>
      <c r="N24" s="19">
        <v>46384</v>
      </c>
      <c r="O24" s="19">
        <v>46387</v>
      </c>
      <c r="P24" s="17" t="str">
        <f t="shared" si="6"/>
        <v/>
      </c>
      <c r="Q24" s="20" t="str">
        <f t="shared" si="7"/>
        <v/>
      </c>
      <c r="R24" s="18" t="str">
        <f t="shared" si="8"/>
        <v/>
      </c>
      <c r="S24" s="15" t="str">
        <f t="shared" si="9"/>
        <v>미입력</v>
      </c>
      <c r="T24" s="17" t="str">
        <f t="shared" si="10"/>
        <v/>
      </c>
      <c r="U24" s="20" t="str">
        <f t="shared" si="11"/>
        <v/>
      </c>
      <c r="V24" s="18" t="str">
        <f t="shared" si="12"/>
        <v/>
      </c>
      <c r="W24" s="15" t="str">
        <f t="shared" si="13"/>
        <v>미입력</v>
      </c>
      <c r="X24" s="21"/>
    </row>
    <row r="25" spans="1:24" ht="17.25" customHeight="1">
      <c r="A25" s="14">
        <v>46286</v>
      </c>
      <c r="B25" s="15" t="s">
        <v>60</v>
      </c>
      <c r="C25" s="16">
        <v>45</v>
      </c>
      <c r="D25" s="16">
        <v>44</v>
      </c>
      <c r="E25" s="16"/>
      <c r="F25" s="17">
        <f t="shared" si="0"/>
        <v>45</v>
      </c>
      <c r="G25" s="18">
        <f t="shared" si="1"/>
        <v>1</v>
      </c>
      <c r="H25" s="15" t="str">
        <f t="shared" si="2"/>
        <v>달성</v>
      </c>
      <c r="I25" s="17">
        <f t="shared" si="3"/>
        <v>60</v>
      </c>
      <c r="J25" s="18">
        <f t="shared" si="4"/>
        <v>0.73333333333333328</v>
      </c>
      <c r="K25" s="15" t="str">
        <f t="shared" si="5"/>
        <v>미달</v>
      </c>
    </row>
    <row r="26" spans="1:24" ht="17.25" customHeight="1">
      <c r="A26" s="14">
        <v>46287</v>
      </c>
      <c r="B26" s="15" t="s">
        <v>47</v>
      </c>
      <c r="C26" s="16">
        <v>32</v>
      </c>
      <c r="D26" s="16">
        <v>47</v>
      </c>
      <c r="E26" s="16"/>
      <c r="F26" s="17">
        <f t="shared" si="0"/>
        <v>45</v>
      </c>
      <c r="G26" s="18">
        <f t="shared" si="1"/>
        <v>0.71111111111111114</v>
      </c>
      <c r="H26" s="15" t="str">
        <f t="shared" si="2"/>
        <v>미달</v>
      </c>
      <c r="I26" s="17">
        <f t="shared" si="3"/>
        <v>60</v>
      </c>
      <c r="J26" s="18">
        <f t="shared" si="4"/>
        <v>0.78333333333333333</v>
      </c>
      <c r="K26" s="15" t="str">
        <f t="shared" si="5"/>
        <v>미달</v>
      </c>
    </row>
    <row r="27" spans="1:24" ht="17.25" customHeight="1">
      <c r="A27" s="14">
        <v>46288</v>
      </c>
      <c r="B27" s="15" t="s">
        <v>49</v>
      </c>
      <c r="C27" s="16"/>
      <c r="D27" s="16"/>
      <c r="E27" s="22" t="s">
        <v>52</v>
      </c>
      <c r="F27" s="17">
        <f t="shared" si="0"/>
        <v>45</v>
      </c>
      <c r="G27" s="18" t="str">
        <f t="shared" si="1"/>
        <v/>
      </c>
      <c r="H27" s="15" t="str">
        <f t="shared" si="2"/>
        <v>휴무</v>
      </c>
      <c r="I27" s="17">
        <f t="shared" si="3"/>
        <v>60</v>
      </c>
      <c r="J27" s="18" t="str">
        <f t="shared" si="4"/>
        <v/>
      </c>
      <c r="K27" s="15" t="str">
        <f t="shared" si="5"/>
        <v>휴무</v>
      </c>
    </row>
    <row r="28" spans="1:24" ht="17.25" customHeight="1">
      <c r="A28" s="14">
        <v>46289</v>
      </c>
      <c r="B28" s="15" t="s">
        <v>51</v>
      </c>
      <c r="C28" s="16"/>
      <c r="D28" s="16"/>
      <c r="E28" s="22" t="s">
        <v>52</v>
      </c>
      <c r="F28" s="17">
        <f t="shared" si="0"/>
        <v>45</v>
      </c>
      <c r="G28" s="18" t="str">
        <f t="shared" si="1"/>
        <v/>
      </c>
      <c r="H28" s="15" t="str">
        <f t="shared" si="2"/>
        <v>휴무</v>
      </c>
      <c r="I28" s="17">
        <f t="shared" si="3"/>
        <v>60</v>
      </c>
      <c r="J28" s="18" t="str">
        <f t="shared" si="4"/>
        <v/>
      </c>
      <c r="K28" s="15" t="str">
        <f t="shared" si="5"/>
        <v>휴무</v>
      </c>
    </row>
    <row r="29" spans="1:24" ht="17.25" customHeight="1">
      <c r="A29" s="14">
        <v>46290</v>
      </c>
      <c r="B29" s="15" t="s">
        <v>54</v>
      </c>
      <c r="C29" s="16">
        <v>54</v>
      </c>
      <c r="D29" s="16">
        <v>65</v>
      </c>
      <c r="E29" s="16"/>
      <c r="F29" s="17">
        <f t="shared" si="0"/>
        <v>45</v>
      </c>
      <c r="G29" s="18">
        <f t="shared" si="1"/>
        <v>1.2</v>
      </c>
      <c r="H29" s="15" t="str">
        <f t="shared" si="2"/>
        <v>달성</v>
      </c>
      <c r="I29" s="17">
        <f t="shared" si="3"/>
        <v>60</v>
      </c>
      <c r="J29" s="18">
        <f t="shared" si="4"/>
        <v>1.0833333333333333</v>
      </c>
      <c r="K29" s="15" t="str">
        <f t="shared" si="5"/>
        <v>달성</v>
      </c>
    </row>
    <row r="30" spans="1:24" ht="17.25" customHeight="1">
      <c r="A30" s="23">
        <v>46291</v>
      </c>
      <c r="B30" s="24" t="s">
        <v>56</v>
      </c>
      <c r="C30" s="16">
        <v>43</v>
      </c>
      <c r="D30" s="16">
        <v>63</v>
      </c>
      <c r="E30" s="16"/>
      <c r="F30" s="25">
        <f t="shared" si="0"/>
        <v>45</v>
      </c>
      <c r="G30" s="26">
        <f t="shared" si="1"/>
        <v>0.9555555555555556</v>
      </c>
      <c r="H30" s="24" t="str">
        <f t="shared" si="2"/>
        <v>미달</v>
      </c>
      <c r="I30" s="25">
        <f t="shared" si="3"/>
        <v>60</v>
      </c>
      <c r="J30" s="26">
        <f t="shared" si="4"/>
        <v>1.05</v>
      </c>
      <c r="K30" s="24" t="str">
        <f t="shared" si="5"/>
        <v>달성</v>
      </c>
    </row>
    <row r="31" spans="1:24" ht="17.25" customHeight="1">
      <c r="A31" s="27">
        <v>46292</v>
      </c>
      <c r="B31" s="28" t="s">
        <v>58</v>
      </c>
      <c r="C31" s="16">
        <v>34</v>
      </c>
      <c r="D31" s="16">
        <v>48</v>
      </c>
      <c r="E31" s="16"/>
      <c r="F31" s="29">
        <f t="shared" si="0"/>
        <v>45</v>
      </c>
      <c r="G31" s="30">
        <f t="shared" si="1"/>
        <v>0.75555555555555554</v>
      </c>
      <c r="H31" s="28" t="str">
        <f t="shared" si="2"/>
        <v>미달</v>
      </c>
      <c r="I31" s="29">
        <f t="shared" si="3"/>
        <v>60</v>
      </c>
      <c r="J31" s="30">
        <f t="shared" si="4"/>
        <v>0.8</v>
      </c>
      <c r="K31" s="28" t="str">
        <f t="shared" si="5"/>
        <v>미달</v>
      </c>
    </row>
    <row r="32" spans="1:24" ht="17.25" customHeight="1">
      <c r="A32" s="14">
        <v>46293</v>
      </c>
      <c r="B32" s="15" t="s">
        <v>60</v>
      </c>
      <c r="C32" s="16">
        <v>32</v>
      </c>
      <c r="D32" s="16">
        <v>94</v>
      </c>
      <c r="E32" s="16"/>
      <c r="F32" s="17">
        <f t="shared" si="0"/>
        <v>45</v>
      </c>
      <c r="G32" s="18">
        <f t="shared" si="1"/>
        <v>0.71111111111111114</v>
      </c>
      <c r="H32" s="15" t="str">
        <f t="shared" si="2"/>
        <v>미달</v>
      </c>
      <c r="I32" s="17">
        <f t="shared" si="3"/>
        <v>60</v>
      </c>
      <c r="J32" s="18">
        <f t="shared" si="4"/>
        <v>1.5666666666666667</v>
      </c>
      <c r="K32" s="15" t="str">
        <f t="shared" si="5"/>
        <v>달성</v>
      </c>
    </row>
    <row r="33" spans="1:11" ht="17.25" customHeight="1">
      <c r="A33" s="14">
        <v>46294</v>
      </c>
      <c r="B33" s="15" t="s">
        <v>47</v>
      </c>
      <c r="C33" s="16">
        <v>26</v>
      </c>
      <c r="D33" s="16">
        <v>75</v>
      </c>
      <c r="E33" s="16"/>
      <c r="F33" s="17">
        <f t="shared" si="0"/>
        <v>45</v>
      </c>
      <c r="G33" s="18">
        <f t="shared" si="1"/>
        <v>0.57777777777777772</v>
      </c>
      <c r="H33" s="15" t="str">
        <f t="shared" si="2"/>
        <v>미달</v>
      </c>
      <c r="I33" s="17">
        <f t="shared" si="3"/>
        <v>60</v>
      </c>
      <c r="J33" s="18">
        <f t="shared" si="4"/>
        <v>1.25</v>
      </c>
      <c r="K33" s="15" t="str">
        <f t="shared" si="5"/>
        <v>달성</v>
      </c>
    </row>
    <row r="34" spans="1:11" ht="17.25" customHeight="1">
      <c r="A34" s="14">
        <v>46295</v>
      </c>
      <c r="B34" s="15" t="s">
        <v>49</v>
      </c>
      <c r="C34" s="16"/>
      <c r="D34" s="16"/>
      <c r="E34" s="22" t="s">
        <v>52</v>
      </c>
      <c r="F34" s="17">
        <f t="shared" si="0"/>
        <v>45</v>
      </c>
      <c r="G34" s="18" t="str">
        <f t="shared" si="1"/>
        <v/>
      </c>
      <c r="H34" s="15" t="str">
        <f t="shared" si="2"/>
        <v>휴무</v>
      </c>
      <c r="I34" s="17">
        <f t="shared" si="3"/>
        <v>60</v>
      </c>
      <c r="J34" s="18" t="str">
        <f t="shared" si="4"/>
        <v/>
      </c>
      <c r="K34" s="15" t="str">
        <f t="shared" si="5"/>
        <v>휴무</v>
      </c>
    </row>
    <row r="35" spans="1:11" ht="17.25" customHeight="1">
      <c r="A35" s="14">
        <v>46296</v>
      </c>
      <c r="B35" s="15" t="s">
        <v>51</v>
      </c>
      <c r="C35" s="16">
        <v>31</v>
      </c>
      <c r="D35" s="16">
        <v>59</v>
      </c>
      <c r="E35" s="16"/>
      <c r="F35" s="17">
        <f t="shared" si="0"/>
        <v>45</v>
      </c>
      <c r="G35" s="18">
        <f t="shared" si="1"/>
        <v>0.68888888888888888</v>
      </c>
      <c r="H35" s="15" t="str">
        <f t="shared" si="2"/>
        <v>미달</v>
      </c>
      <c r="I35" s="17">
        <f t="shared" si="3"/>
        <v>60</v>
      </c>
      <c r="J35" s="18">
        <f t="shared" si="4"/>
        <v>0.98333333333333328</v>
      </c>
      <c r="K35" s="15" t="str">
        <f t="shared" si="5"/>
        <v>미달</v>
      </c>
    </row>
    <row r="36" spans="1:11" ht="17.25" customHeight="1">
      <c r="A36" s="14">
        <v>46297</v>
      </c>
      <c r="B36" s="15" t="s">
        <v>54</v>
      </c>
      <c r="C36" s="16">
        <v>37</v>
      </c>
      <c r="D36" s="16">
        <v>77</v>
      </c>
      <c r="E36" s="16"/>
      <c r="F36" s="17">
        <f t="shared" si="0"/>
        <v>45</v>
      </c>
      <c r="G36" s="18">
        <f t="shared" si="1"/>
        <v>0.82222222222222219</v>
      </c>
      <c r="H36" s="15" t="str">
        <f t="shared" si="2"/>
        <v>미달</v>
      </c>
      <c r="I36" s="17">
        <f t="shared" si="3"/>
        <v>60</v>
      </c>
      <c r="J36" s="18">
        <f t="shared" si="4"/>
        <v>1.2833333333333334</v>
      </c>
      <c r="K36" s="15" t="str">
        <f t="shared" si="5"/>
        <v>달성</v>
      </c>
    </row>
    <row r="37" spans="1:11" ht="17.25" customHeight="1">
      <c r="A37" s="23">
        <v>46298</v>
      </c>
      <c r="B37" s="24" t="s">
        <v>56</v>
      </c>
      <c r="C37" s="16">
        <v>40</v>
      </c>
      <c r="D37" s="16">
        <v>47</v>
      </c>
      <c r="E37" s="16"/>
      <c r="F37" s="25">
        <f t="shared" ref="F37:F68" si="14">IF(OR($E37="오전반차",$E37="오후반차"),$D$2/2,$D$2)</f>
        <v>45</v>
      </c>
      <c r="G37" s="26">
        <f t="shared" ref="G37:G68" si="15">IF($C37="","",$C37/$F37)</f>
        <v>0.88888888888888884</v>
      </c>
      <c r="H37" s="24" t="str">
        <f t="shared" ref="H37:H68" si="16">IF($C37="",IF($E37="","미입력",$E37),IF($C37&gt;=$F37,"달성","미달"))</f>
        <v>미달</v>
      </c>
      <c r="I37" s="25">
        <f t="shared" ref="I37:I68" si="17">IF(OR($E37="오전반차",$E37="오후반차"),$F$2/2,$F$2)</f>
        <v>60</v>
      </c>
      <c r="J37" s="26">
        <f t="shared" ref="J37:J68" si="18">IF($D37="","",$D37/$I37)</f>
        <v>0.78333333333333333</v>
      </c>
      <c r="K37" s="24" t="str">
        <f t="shared" ref="K37:K68" si="19">IF($D37="",IF($E37="","미입력",$E37),IF($D37&gt;=$I37,"달성","미달"))</f>
        <v>미달</v>
      </c>
    </row>
    <row r="38" spans="1:11" ht="17.25" customHeight="1">
      <c r="A38" s="27">
        <v>46299</v>
      </c>
      <c r="B38" s="28" t="s">
        <v>58</v>
      </c>
      <c r="C38" s="16"/>
      <c r="D38" s="16"/>
      <c r="E38" s="22" t="s">
        <v>52</v>
      </c>
      <c r="F38" s="29">
        <f t="shared" si="14"/>
        <v>45</v>
      </c>
      <c r="G38" s="30" t="str">
        <f t="shared" si="15"/>
        <v/>
      </c>
      <c r="H38" s="28" t="str">
        <f t="shared" si="16"/>
        <v>휴무</v>
      </c>
      <c r="I38" s="29">
        <f t="shared" si="17"/>
        <v>60</v>
      </c>
      <c r="J38" s="30" t="str">
        <f t="shared" si="18"/>
        <v/>
      </c>
      <c r="K38" s="28" t="str">
        <f t="shared" si="19"/>
        <v>휴무</v>
      </c>
    </row>
    <row r="39" spans="1:11" ht="17.25" customHeight="1">
      <c r="A39" s="14">
        <v>46300</v>
      </c>
      <c r="B39" s="15" t="s">
        <v>60</v>
      </c>
      <c r="C39" s="16"/>
      <c r="D39" s="16"/>
      <c r="E39" s="16"/>
      <c r="F39" s="17">
        <f t="shared" si="14"/>
        <v>45</v>
      </c>
      <c r="G39" s="18" t="str">
        <f t="shared" si="15"/>
        <v/>
      </c>
      <c r="H39" s="15" t="str">
        <f t="shared" si="16"/>
        <v>미입력</v>
      </c>
      <c r="I39" s="17">
        <f t="shared" si="17"/>
        <v>60</v>
      </c>
      <c r="J39" s="18" t="str">
        <f t="shared" si="18"/>
        <v/>
      </c>
      <c r="K39" s="15" t="str">
        <f t="shared" si="19"/>
        <v>미입력</v>
      </c>
    </row>
    <row r="40" spans="1:11" ht="17.25" customHeight="1">
      <c r="A40" s="14">
        <v>46301</v>
      </c>
      <c r="B40" s="15" t="s">
        <v>47</v>
      </c>
      <c r="C40" s="16"/>
      <c r="D40" s="16"/>
      <c r="E40" s="16"/>
      <c r="F40" s="17">
        <f t="shared" si="14"/>
        <v>45</v>
      </c>
      <c r="G40" s="18" t="str">
        <f t="shared" si="15"/>
        <v/>
      </c>
      <c r="H40" s="15" t="str">
        <f t="shared" si="16"/>
        <v>미입력</v>
      </c>
      <c r="I40" s="17">
        <f t="shared" si="17"/>
        <v>60</v>
      </c>
      <c r="J40" s="18" t="str">
        <f t="shared" si="18"/>
        <v/>
      </c>
      <c r="K40" s="15" t="str">
        <f t="shared" si="19"/>
        <v>미입력</v>
      </c>
    </row>
    <row r="41" spans="1:11" ht="17.25" customHeight="1">
      <c r="A41" s="14">
        <v>46302</v>
      </c>
      <c r="B41" s="15" t="s">
        <v>49</v>
      </c>
      <c r="C41" s="16"/>
      <c r="D41" s="16"/>
      <c r="E41" s="16"/>
      <c r="F41" s="17">
        <f t="shared" si="14"/>
        <v>45</v>
      </c>
      <c r="G41" s="18" t="str">
        <f t="shared" si="15"/>
        <v/>
      </c>
      <c r="H41" s="15" t="str">
        <f t="shared" si="16"/>
        <v>미입력</v>
      </c>
      <c r="I41" s="17">
        <f t="shared" si="17"/>
        <v>60</v>
      </c>
      <c r="J41" s="18" t="str">
        <f t="shared" si="18"/>
        <v/>
      </c>
      <c r="K41" s="15" t="str">
        <f t="shared" si="19"/>
        <v>미입력</v>
      </c>
    </row>
    <row r="42" spans="1:11" ht="17.25" customHeight="1">
      <c r="A42" s="14">
        <v>46303</v>
      </c>
      <c r="B42" s="15" t="s">
        <v>51</v>
      </c>
      <c r="C42" s="16"/>
      <c r="D42" s="16"/>
      <c r="E42" s="16"/>
      <c r="F42" s="17">
        <f t="shared" si="14"/>
        <v>45</v>
      </c>
      <c r="G42" s="18" t="str">
        <f t="shared" si="15"/>
        <v/>
      </c>
      <c r="H42" s="15" t="str">
        <f t="shared" si="16"/>
        <v>미입력</v>
      </c>
      <c r="I42" s="17">
        <f t="shared" si="17"/>
        <v>60</v>
      </c>
      <c r="J42" s="18" t="str">
        <f t="shared" si="18"/>
        <v/>
      </c>
      <c r="K42" s="15" t="str">
        <f t="shared" si="19"/>
        <v>미입력</v>
      </c>
    </row>
    <row r="43" spans="1:11" ht="17.25" customHeight="1">
      <c r="A43" s="14">
        <v>46304</v>
      </c>
      <c r="B43" s="15" t="s">
        <v>54</v>
      </c>
      <c r="C43" s="16"/>
      <c r="D43" s="16"/>
      <c r="E43" s="16"/>
      <c r="F43" s="17">
        <f t="shared" si="14"/>
        <v>45</v>
      </c>
      <c r="G43" s="18" t="str">
        <f t="shared" si="15"/>
        <v/>
      </c>
      <c r="H43" s="15" t="str">
        <f t="shared" si="16"/>
        <v>미입력</v>
      </c>
      <c r="I43" s="17">
        <f t="shared" si="17"/>
        <v>60</v>
      </c>
      <c r="J43" s="18" t="str">
        <f t="shared" si="18"/>
        <v/>
      </c>
      <c r="K43" s="15" t="str">
        <f t="shared" si="19"/>
        <v>미입력</v>
      </c>
    </row>
    <row r="44" spans="1:11" ht="17.25" customHeight="1">
      <c r="A44" s="23">
        <v>46305</v>
      </c>
      <c r="B44" s="24" t="s">
        <v>56</v>
      </c>
      <c r="C44" s="16"/>
      <c r="D44" s="16"/>
      <c r="E44" s="16"/>
      <c r="F44" s="25">
        <f t="shared" si="14"/>
        <v>45</v>
      </c>
      <c r="G44" s="26" t="str">
        <f t="shared" si="15"/>
        <v/>
      </c>
      <c r="H44" s="24" t="str">
        <f t="shared" si="16"/>
        <v>미입력</v>
      </c>
      <c r="I44" s="25">
        <f t="shared" si="17"/>
        <v>60</v>
      </c>
      <c r="J44" s="26" t="str">
        <f t="shared" si="18"/>
        <v/>
      </c>
      <c r="K44" s="24" t="str">
        <f t="shared" si="19"/>
        <v>미입력</v>
      </c>
    </row>
    <row r="45" spans="1:11" ht="17.25" customHeight="1">
      <c r="A45" s="27">
        <v>46306</v>
      </c>
      <c r="B45" s="28" t="s">
        <v>58</v>
      </c>
      <c r="C45" s="16"/>
      <c r="D45" s="16"/>
      <c r="E45" s="16"/>
      <c r="F45" s="29">
        <f t="shared" si="14"/>
        <v>45</v>
      </c>
      <c r="G45" s="30" t="str">
        <f t="shared" si="15"/>
        <v/>
      </c>
      <c r="H45" s="28" t="str">
        <f t="shared" si="16"/>
        <v>미입력</v>
      </c>
      <c r="I45" s="29">
        <f t="shared" si="17"/>
        <v>60</v>
      </c>
      <c r="J45" s="30" t="str">
        <f t="shared" si="18"/>
        <v/>
      </c>
      <c r="K45" s="28" t="str">
        <f t="shared" si="19"/>
        <v>미입력</v>
      </c>
    </row>
    <row r="46" spans="1:11" ht="17.25" customHeight="1">
      <c r="A46" s="14">
        <v>46307</v>
      </c>
      <c r="B46" s="15" t="s">
        <v>60</v>
      </c>
      <c r="C46" s="16"/>
      <c r="D46" s="16"/>
      <c r="E46" s="16"/>
      <c r="F46" s="17">
        <f t="shared" si="14"/>
        <v>45</v>
      </c>
      <c r="G46" s="18" t="str">
        <f t="shared" si="15"/>
        <v/>
      </c>
      <c r="H46" s="15" t="str">
        <f t="shared" si="16"/>
        <v>미입력</v>
      </c>
      <c r="I46" s="17">
        <f t="shared" si="17"/>
        <v>60</v>
      </c>
      <c r="J46" s="18" t="str">
        <f t="shared" si="18"/>
        <v/>
      </c>
      <c r="K46" s="15" t="str">
        <f t="shared" si="19"/>
        <v>미입력</v>
      </c>
    </row>
    <row r="47" spans="1:11" ht="17.25" customHeight="1">
      <c r="A47" s="14">
        <v>46308</v>
      </c>
      <c r="B47" s="15" t="s">
        <v>47</v>
      </c>
      <c r="C47" s="16"/>
      <c r="D47" s="16"/>
      <c r="E47" s="16"/>
      <c r="F47" s="17">
        <f t="shared" si="14"/>
        <v>45</v>
      </c>
      <c r="G47" s="18" t="str">
        <f t="shared" si="15"/>
        <v/>
      </c>
      <c r="H47" s="15" t="str">
        <f t="shared" si="16"/>
        <v>미입력</v>
      </c>
      <c r="I47" s="17">
        <f t="shared" si="17"/>
        <v>60</v>
      </c>
      <c r="J47" s="18" t="str">
        <f t="shared" si="18"/>
        <v/>
      </c>
      <c r="K47" s="15" t="str">
        <f t="shared" si="19"/>
        <v>미입력</v>
      </c>
    </row>
    <row r="48" spans="1:11" ht="17.25" customHeight="1">
      <c r="A48" s="14">
        <v>46309</v>
      </c>
      <c r="B48" s="15" t="s">
        <v>49</v>
      </c>
      <c r="C48" s="16"/>
      <c r="D48" s="16"/>
      <c r="E48" s="16"/>
      <c r="F48" s="17">
        <f t="shared" si="14"/>
        <v>45</v>
      </c>
      <c r="G48" s="18" t="str">
        <f t="shared" si="15"/>
        <v/>
      </c>
      <c r="H48" s="15" t="str">
        <f t="shared" si="16"/>
        <v>미입력</v>
      </c>
      <c r="I48" s="17">
        <f t="shared" si="17"/>
        <v>60</v>
      </c>
      <c r="J48" s="18" t="str">
        <f t="shared" si="18"/>
        <v/>
      </c>
      <c r="K48" s="15" t="str">
        <f t="shared" si="19"/>
        <v>미입력</v>
      </c>
    </row>
    <row r="49" spans="1:11" ht="17.25" customHeight="1">
      <c r="A49" s="14">
        <v>46310</v>
      </c>
      <c r="B49" s="15" t="s">
        <v>51</v>
      </c>
      <c r="C49" s="16"/>
      <c r="D49" s="16"/>
      <c r="E49" s="16"/>
      <c r="F49" s="17">
        <f t="shared" si="14"/>
        <v>45</v>
      </c>
      <c r="G49" s="18" t="str">
        <f t="shared" si="15"/>
        <v/>
      </c>
      <c r="H49" s="15" t="str">
        <f t="shared" si="16"/>
        <v>미입력</v>
      </c>
      <c r="I49" s="17">
        <f t="shared" si="17"/>
        <v>60</v>
      </c>
      <c r="J49" s="18" t="str">
        <f t="shared" si="18"/>
        <v/>
      </c>
      <c r="K49" s="15" t="str">
        <f t="shared" si="19"/>
        <v>미입력</v>
      </c>
    </row>
    <row r="50" spans="1:11" ht="17.25" customHeight="1">
      <c r="A50" s="14">
        <v>46311</v>
      </c>
      <c r="B50" s="15" t="s">
        <v>54</v>
      </c>
      <c r="C50" s="16"/>
      <c r="D50" s="16"/>
      <c r="E50" s="16"/>
      <c r="F50" s="17">
        <f t="shared" si="14"/>
        <v>45</v>
      </c>
      <c r="G50" s="18" t="str">
        <f t="shared" si="15"/>
        <v/>
      </c>
      <c r="H50" s="15" t="str">
        <f t="shared" si="16"/>
        <v>미입력</v>
      </c>
      <c r="I50" s="17">
        <f t="shared" si="17"/>
        <v>60</v>
      </c>
      <c r="J50" s="18" t="str">
        <f t="shared" si="18"/>
        <v/>
      </c>
      <c r="K50" s="15" t="str">
        <f t="shared" si="19"/>
        <v>미입력</v>
      </c>
    </row>
    <row r="51" spans="1:11" ht="17.25" customHeight="1">
      <c r="A51" s="23">
        <v>46312</v>
      </c>
      <c r="B51" s="24" t="s">
        <v>56</v>
      </c>
      <c r="C51" s="16"/>
      <c r="D51" s="16"/>
      <c r="E51" s="16"/>
      <c r="F51" s="25">
        <f t="shared" si="14"/>
        <v>45</v>
      </c>
      <c r="G51" s="26" t="str">
        <f t="shared" si="15"/>
        <v/>
      </c>
      <c r="H51" s="24" t="str">
        <f t="shared" si="16"/>
        <v>미입력</v>
      </c>
      <c r="I51" s="25">
        <f t="shared" si="17"/>
        <v>60</v>
      </c>
      <c r="J51" s="26" t="str">
        <f t="shared" si="18"/>
        <v/>
      </c>
      <c r="K51" s="24" t="str">
        <f t="shared" si="19"/>
        <v>미입력</v>
      </c>
    </row>
    <row r="52" spans="1:11" ht="17.25" customHeight="1">
      <c r="A52" s="27">
        <v>46313</v>
      </c>
      <c r="B52" s="28" t="s">
        <v>58</v>
      </c>
      <c r="C52" s="16"/>
      <c r="D52" s="16"/>
      <c r="E52" s="16"/>
      <c r="F52" s="29">
        <f t="shared" si="14"/>
        <v>45</v>
      </c>
      <c r="G52" s="30" t="str">
        <f t="shared" si="15"/>
        <v/>
      </c>
      <c r="H52" s="28" t="str">
        <f t="shared" si="16"/>
        <v>미입력</v>
      </c>
      <c r="I52" s="29">
        <f t="shared" si="17"/>
        <v>60</v>
      </c>
      <c r="J52" s="30" t="str">
        <f t="shared" si="18"/>
        <v/>
      </c>
      <c r="K52" s="28" t="str">
        <f t="shared" si="19"/>
        <v>미입력</v>
      </c>
    </row>
    <row r="53" spans="1:11" ht="17.25" customHeight="1">
      <c r="A53" s="14">
        <v>46314</v>
      </c>
      <c r="B53" s="15" t="s">
        <v>60</v>
      </c>
      <c r="C53" s="16"/>
      <c r="D53" s="16"/>
      <c r="E53" s="16"/>
      <c r="F53" s="17">
        <f t="shared" si="14"/>
        <v>45</v>
      </c>
      <c r="G53" s="18" t="str">
        <f t="shared" si="15"/>
        <v/>
      </c>
      <c r="H53" s="15" t="str">
        <f t="shared" si="16"/>
        <v>미입력</v>
      </c>
      <c r="I53" s="17">
        <f t="shared" si="17"/>
        <v>60</v>
      </c>
      <c r="J53" s="18" t="str">
        <f t="shared" si="18"/>
        <v/>
      </c>
      <c r="K53" s="15" t="str">
        <f t="shared" si="19"/>
        <v>미입력</v>
      </c>
    </row>
    <row r="54" spans="1:11" ht="17.25" customHeight="1">
      <c r="A54" s="14">
        <v>46315</v>
      </c>
      <c r="B54" s="15" t="s">
        <v>47</v>
      </c>
      <c r="C54" s="16"/>
      <c r="D54" s="16"/>
      <c r="E54" s="16"/>
      <c r="F54" s="17">
        <f t="shared" si="14"/>
        <v>45</v>
      </c>
      <c r="G54" s="18" t="str">
        <f t="shared" si="15"/>
        <v/>
      </c>
      <c r="H54" s="15" t="str">
        <f t="shared" si="16"/>
        <v>미입력</v>
      </c>
      <c r="I54" s="17">
        <f t="shared" si="17"/>
        <v>60</v>
      </c>
      <c r="J54" s="18" t="str">
        <f t="shared" si="18"/>
        <v/>
      </c>
      <c r="K54" s="15" t="str">
        <f t="shared" si="19"/>
        <v>미입력</v>
      </c>
    </row>
    <row r="55" spans="1:11" ht="17.25" customHeight="1">
      <c r="A55" s="14">
        <v>46316</v>
      </c>
      <c r="B55" s="15" t="s">
        <v>49</v>
      </c>
      <c r="C55" s="16"/>
      <c r="D55" s="16"/>
      <c r="E55" s="16"/>
      <c r="F55" s="17">
        <f t="shared" si="14"/>
        <v>45</v>
      </c>
      <c r="G55" s="18" t="str">
        <f t="shared" si="15"/>
        <v/>
      </c>
      <c r="H55" s="15" t="str">
        <f t="shared" si="16"/>
        <v>미입력</v>
      </c>
      <c r="I55" s="17">
        <f t="shared" si="17"/>
        <v>60</v>
      </c>
      <c r="J55" s="18" t="str">
        <f t="shared" si="18"/>
        <v/>
      </c>
      <c r="K55" s="15" t="str">
        <f t="shared" si="19"/>
        <v>미입력</v>
      </c>
    </row>
    <row r="56" spans="1:11" ht="17.25" customHeight="1">
      <c r="A56" s="14">
        <v>46317</v>
      </c>
      <c r="B56" s="15" t="s">
        <v>51</v>
      </c>
      <c r="C56" s="16"/>
      <c r="D56" s="16"/>
      <c r="E56" s="16"/>
      <c r="F56" s="17">
        <f t="shared" si="14"/>
        <v>45</v>
      </c>
      <c r="G56" s="18" t="str">
        <f t="shared" si="15"/>
        <v/>
      </c>
      <c r="H56" s="15" t="str">
        <f t="shared" si="16"/>
        <v>미입력</v>
      </c>
      <c r="I56" s="17">
        <f t="shared" si="17"/>
        <v>60</v>
      </c>
      <c r="J56" s="18" t="str">
        <f t="shared" si="18"/>
        <v/>
      </c>
      <c r="K56" s="15" t="str">
        <f t="shared" si="19"/>
        <v>미입력</v>
      </c>
    </row>
    <row r="57" spans="1:11" ht="17.25" customHeight="1">
      <c r="A57" s="14">
        <v>46318</v>
      </c>
      <c r="B57" s="15" t="s">
        <v>54</v>
      </c>
      <c r="C57" s="16"/>
      <c r="D57" s="16"/>
      <c r="E57" s="16"/>
      <c r="F57" s="17">
        <f t="shared" si="14"/>
        <v>45</v>
      </c>
      <c r="G57" s="18" t="str">
        <f t="shared" si="15"/>
        <v/>
      </c>
      <c r="H57" s="15" t="str">
        <f t="shared" si="16"/>
        <v>미입력</v>
      </c>
      <c r="I57" s="17">
        <f t="shared" si="17"/>
        <v>60</v>
      </c>
      <c r="J57" s="18" t="str">
        <f t="shared" si="18"/>
        <v/>
      </c>
      <c r="K57" s="15" t="str">
        <f t="shared" si="19"/>
        <v>미입력</v>
      </c>
    </row>
    <row r="58" spans="1:11" ht="17.25" customHeight="1">
      <c r="A58" s="23">
        <v>46319</v>
      </c>
      <c r="B58" s="24" t="s">
        <v>56</v>
      </c>
      <c r="C58" s="16"/>
      <c r="D58" s="16"/>
      <c r="E58" s="16"/>
      <c r="F58" s="25">
        <f t="shared" si="14"/>
        <v>45</v>
      </c>
      <c r="G58" s="26" t="str">
        <f t="shared" si="15"/>
        <v/>
      </c>
      <c r="H58" s="24" t="str">
        <f t="shared" si="16"/>
        <v>미입력</v>
      </c>
      <c r="I58" s="25">
        <f t="shared" si="17"/>
        <v>60</v>
      </c>
      <c r="J58" s="26" t="str">
        <f t="shared" si="18"/>
        <v/>
      </c>
      <c r="K58" s="24" t="str">
        <f t="shared" si="19"/>
        <v>미입력</v>
      </c>
    </row>
    <row r="59" spans="1:11" ht="17.25" customHeight="1">
      <c r="A59" s="27">
        <v>46320</v>
      </c>
      <c r="B59" s="28" t="s">
        <v>58</v>
      </c>
      <c r="C59" s="16"/>
      <c r="D59" s="16"/>
      <c r="E59" s="16"/>
      <c r="F59" s="29">
        <f t="shared" si="14"/>
        <v>45</v>
      </c>
      <c r="G59" s="30" t="str">
        <f t="shared" si="15"/>
        <v/>
      </c>
      <c r="H59" s="28" t="str">
        <f t="shared" si="16"/>
        <v>미입력</v>
      </c>
      <c r="I59" s="29">
        <f t="shared" si="17"/>
        <v>60</v>
      </c>
      <c r="J59" s="30" t="str">
        <f t="shared" si="18"/>
        <v/>
      </c>
      <c r="K59" s="28" t="str">
        <f t="shared" si="19"/>
        <v>미입력</v>
      </c>
    </row>
    <row r="60" spans="1:11" ht="17.25" customHeight="1">
      <c r="A60" s="14">
        <v>46321</v>
      </c>
      <c r="B60" s="15" t="s">
        <v>60</v>
      </c>
      <c r="C60" s="16"/>
      <c r="D60" s="16"/>
      <c r="E60" s="16"/>
      <c r="F60" s="17">
        <f t="shared" si="14"/>
        <v>45</v>
      </c>
      <c r="G60" s="18" t="str">
        <f t="shared" si="15"/>
        <v/>
      </c>
      <c r="H60" s="15" t="str">
        <f t="shared" si="16"/>
        <v>미입력</v>
      </c>
      <c r="I60" s="17">
        <f t="shared" si="17"/>
        <v>60</v>
      </c>
      <c r="J60" s="18" t="str">
        <f t="shared" si="18"/>
        <v/>
      </c>
      <c r="K60" s="15" t="str">
        <f t="shared" si="19"/>
        <v>미입력</v>
      </c>
    </row>
    <row r="61" spans="1:11" ht="17.25" customHeight="1">
      <c r="A61" s="14">
        <v>46322</v>
      </c>
      <c r="B61" s="15" t="s">
        <v>47</v>
      </c>
      <c r="C61" s="16"/>
      <c r="D61" s="16"/>
      <c r="E61" s="16"/>
      <c r="F61" s="17">
        <f t="shared" si="14"/>
        <v>45</v>
      </c>
      <c r="G61" s="18" t="str">
        <f t="shared" si="15"/>
        <v/>
      </c>
      <c r="H61" s="15" t="str">
        <f t="shared" si="16"/>
        <v>미입력</v>
      </c>
      <c r="I61" s="17">
        <f t="shared" si="17"/>
        <v>60</v>
      </c>
      <c r="J61" s="18" t="str">
        <f t="shared" si="18"/>
        <v/>
      </c>
      <c r="K61" s="15" t="str">
        <f t="shared" si="19"/>
        <v>미입력</v>
      </c>
    </row>
    <row r="62" spans="1:11" ht="17.25" customHeight="1">
      <c r="A62" s="14">
        <v>46323</v>
      </c>
      <c r="B62" s="15" t="s">
        <v>49</v>
      </c>
      <c r="C62" s="16"/>
      <c r="D62" s="16"/>
      <c r="E62" s="16"/>
      <c r="F62" s="17">
        <f t="shared" si="14"/>
        <v>45</v>
      </c>
      <c r="G62" s="18" t="str">
        <f t="shared" si="15"/>
        <v/>
      </c>
      <c r="H62" s="15" t="str">
        <f t="shared" si="16"/>
        <v>미입력</v>
      </c>
      <c r="I62" s="17">
        <f t="shared" si="17"/>
        <v>60</v>
      </c>
      <c r="J62" s="18" t="str">
        <f t="shared" si="18"/>
        <v/>
      </c>
      <c r="K62" s="15" t="str">
        <f t="shared" si="19"/>
        <v>미입력</v>
      </c>
    </row>
    <row r="63" spans="1:11" ht="17.25" customHeight="1">
      <c r="A63" s="14">
        <v>46324</v>
      </c>
      <c r="B63" s="15" t="s">
        <v>51</v>
      </c>
      <c r="C63" s="16"/>
      <c r="D63" s="16"/>
      <c r="E63" s="16"/>
      <c r="F63" s="17">
        <f t="shared" si="14"/>
        <v>45</v>
      </c>
      <c r="G63" s="18" t="str">
        <f t="shared" si="15"/>
        <v/>
      </c>
      <c r="H63" s="15" t="str">
        <f t="shared" si="16"/>
        <v>미입력</v>
      </c>
      <c r="I63" s="17">
        <f t="shared" si="17"/>
        <v>60</v>
      </c>
      <c r="J63" s="18" t="str">
        <f t="shared" si="18"/>
        <v/>
      </c>
      <c r="K63" s="15" t="str">
        <f t="shared" si="19"/>
        <v>미입력</v>
      </c>
    </row>
    <row r="64" spans="1:11" ht="17.25" customHeight="1">
      <c r="A64" s="14">
        <v>46325</v>
      </c>
      <c r="B64" s="15" t="s">
        <v>54</v>
      </c>
      <c r="C64" s="16"/>
      <c r="D64" s="16"/>
      <c r="E64" s="16"/>
      <c r="F64" s="17">
        <f t="shared" si="14"/>
        <v>45</v>
      </c>
      <c r="G64" s="18" t="str">
        <f t="shared" si="15"/>
        <v/>
      </c>
      <c r="H64" s="15" t="str">
        <f t="shared" si="16"/>
        <v>미입력</v>
      </c>
      <c r="I64" s="17">
        <f t="shared" si="17"/>
        <v>60</v>
      </c>
      <c r="J64" s="18" t="str">
        <f t="shared" si="18"/>
        <v/>
      </c>
      <c r="K64" s="15" t="str">
        <f t="shared" si="19"/>
        <v>미입력</v>
      </c>
    </row>
    <row r="65" spans="1:11" ht="17.25" customHeight="1">
      <c r="A65" s="23">
        <v>46326</v>
      </c>
      <c r="B65" s="24" t="s">
        <v>56</v>
      </c>
      <c r="C65" s="16"/>
      <c r="D65" s="16"/>
      <c r="E65" s="16"/>
      <c r="F65" s="25">
        <f t="shared" si="14"/>
        <v>45</v>
      </c>
      <c r="G65" s="26" t="str">
        <f t="shared" si="15"/>
        <v/>
      </c>
      <c r="H65" s="24" t="str">
        <f t="shared" si="16"/>
        <v>미입력</v>
      </c>
      <c r="I65" s="25">
        <f t="shared" si="17"/>
        <v>60</v>
      </c>
      <c r="J65" s="26" t="str">
        <f t="shared" si="18"/>
        <v/>
      </c>
      <c r="K65" s="24" t="str">
        <f t="shared" si="19"/>
        <v>미입력</v>
      </c>
    </row>
    <row r="66" spans="1:11" ht="17.25" customHeight="1">
      <c r="A66" s="27">
        <v>46327</v>
      </c>
      <c r="B66" s="28" t="s">
        <v>58</v>
      </c>
      <c r="C66" s="16"/>
      <c r="D66" s="16"/>
      <c r="E66" s="16"/>
      <c r="F66" s="29">
        <f t="shared" si="14"/>
        <v>45</v>
      </c>
      <c r="G66" s="30" t="str">
        <f t="shared" si="15"/>
        <v/>
      </c>
      <c r="H66" s="28" t="str">
        <f t="shared" si="16"/>
        <v>미입력</v>
      </c>
      <c r="I66" s="29">
        <f t="shared" si="17"/>
        <v>60</v>
      </c>
      <c r="J66" s="30" t="str">
        <f t="shared" si="18"/>
        <v/>
      </c>
      <c r="K66" s="28" t="str">
        <f t="shared" si="19"/>
        <v>미입력</v>
      </c>
    </row>
    <row r="67" spans="1:11" ht="17.25" customHeight="1">
      <c r="A67" s="14">
        <v>46328</v>
      </c>
      <c r="B67" s="15" t="s">
        <v>60</v>
      </c>
      <c r="C67" s="16"/>
      <c r="D67" s="16"/>
      <c r="E67" s="16"/>
      <c r="F67" s="17">
        <f t="shared" si="14"/>
        <v>45</v>
      </c>
      <c r="G67" s="18" t="str">
        <f t="shared" si="15"/>
        <v/>
      </c>
      <c r="H67" s="15" t="str">
        <f t="shared" si="16"/>
        <v>미입력</v>
      </c>
      <c r="I67" s="17">
        <f t="shared" si="17"/>
        <v>60</v>
      </c>
      <c r="J67" s="18" t="str">
        <f t="shared" si="18"/>
        <v/>
      </c>
      <c r="K67" s="15" t="str">
        <f t="shared" si="19"/>
        <v>미입력</v>
      </c>
    </row>
    <row r="68" spans="1:11" ht="17.25" customHeight="1">
      <c r="A68" s="14">
        <v>46329</v>
      </c>
      <c r="B68" s="15" t="s">
        <v>47</v>
      </c>
      <c r="C68" s="16"/>
      <c r="D68" s="16"/>
      <c r="E68" s="16"/>
      <c r="F68" s="17">
        <f t="shared" si="14"/>
        <v>45</v>
      </c>
      <c r="G68" s="18" t="str">
        <f t="shared" si="15"/>
        <v/>
      </c>
      <c r="H68" s="15" t="str">
        <f t="shared" si="16"/>
        <v>미입력</v>
      </c>
      <c r="I68" s="17">
        <f t="shared" si="17"/>
        <v>60</v>
      </c>
      <c r="J68" s="18" t="str">
        <f t="shared" si="18"/>
        <v/>
      </c>
      <c r="K68" s="15" t="str">
        <f t="shared" si="19"/>
        <v>미입력</v>
      </c>
    </row>
    <row r="69" spans="1:11" ht="17.25" customHeight="1">
      <c r="A69" s="14">
        <v>46330</v>
      </c>
      <c r="B69" s="15" t="s">
        <v>49</v>
      </c>
      <c r="C69" s="16"/>
      <c r="D69" s="16"/>
      <c r="E69" s="16"/>
      <c r="F69" s="17">
        <f t="shared" ref="F69:F100" si="20">IF(OR($E69="오전반차",$E69="오후반차"),$D$2/2,$D$2)</f>
        <v>45</v>
      </c>
      <c r="G69" s="18" t="str">
        <f t="shared" ref="G69:G100" si="21">IF($C69="","",$C69/$F69)</f>
        <v/>
      </c>
      <c r="H69" s="15" t="str">
        <f t="shared" ref="H69:H100" si="22">IF($C69="",IF($E69="","미입력",$E69),IF($C69&gt;=$F69,"달성","미달"))</f>
        <v>미입력</v>
      </c>
      <c r="I69" s="17">
        <f t="shared" ref="I69:I100" si="23">IF(OR($E69="오전반차",$E69="오후반차"),$F$2/2,$F$2)</f>
        <v>60</v>
      </c>
      <c r="J69" s="18" t="str">
        <f t="shared" ref="J69:J100" si="24">IF($D69="","",$D69/$I69)</f>
        <v/>
      </c>
      <c r="K69" s="15" t="str">
        <f t="shared" ref="K69:K100" si="25">IF($D69="",IF($E69="","미입력",$E69),IF($D69&gt;=$I69,"달성","미달"))</f>
        <v>미입력</v>
      </c>
    </row>
    <row r="70" spans="1:11" ht="17.25" customHeight="1">
      <c r="A70" s="14">
        <v>46331</v>
      </c>
      <c r="B70" s="15" t="s">
        <v>51</v>
      </c>
      <c r="C70" s="16"/>
      <c r="D70" s="16"/>
      <c r="E70" s="16"/>
      <c r="F70" s="17">
        <f t="shared" si="20"/>
        <v>45</v>
      </c>
      <c r="G70" s="18" t="str">
        <f t="shared" si="21"/>
        <v/>
      </c>
      <c r="H70" s="15" t="str">
        <f t="shared" si="22"/>
        <v>미입력</v>
      </c>
      <c r="I70" s="17">
        <f t="shared" si="23"/>
        <v>60</v>
      </c>
      <c r="J70" s="18" t="str">
        <f t="shared" si="24"/>
        <v/>
      </c>
      <c r="K70" s="15" t="str">
        <f t="shared" si="25"/>
        <v>미입력</v>
      </c>
    </row>
    <row r="71" spans="1:11" ht="17.25" customHeight="1">
      <c r="A71" s="14">
        <v>46332</v>
      </c>
      <c r="B71" s="15" t="s">
        <v>54</v>
      </c>
      <c r="C71" s="16"/>
      <c r="D71" s="16"/>
      <c r="E71" s="16"/>
      <c r="F71" s="17">
        <f t="shared" si="20"/>
        <v>45</v>
      </c>
      <c r="G71" s="18" t="str">
        <f t="shared" si="21"/>
        <v/>
      </c>
      <c r="H71" s="15" t="str">
        <f t="shared" si="22"/>
        <v>미입력</v>
      </c>
      <c r="I71" s="17">
        <f t="shared" si="23"/>
        <v>60</v>
      </c>
      <c r="J71" s="18" t="str">
        <f t="shared" si="24"/>
        <v/>
      </c>
      <c r="K71" s="15" t="str">
        <f t="shared" si="25"/>
        <v>미입력</v>
      </c>
    </row>
    <row r="72" spans="1:11" ht="17.25" customHeight="1">
      <c r="A72" s="23">
        <v>46333</v>
      </c>
      <c r="B72" s="24" t="s">
        <v>56</v>
      </c>
      <c r="C72" s="16"/>
      <c r="D72" s="16"/>
      <c r="E72" s="16"/>
      <c r="F72" s="25">
        <f t="shared" si="20"/>
        <v>45</v>
      </c>
      <c r="G72" s="26" t="str">
        <f t="shared" si="21"/>
        <v/>
      </c>
      <c r="H72" s="24" t="str">
        <f t="shared" si="22"/>
        <v>미입력</v>
      </c>
      <c r="I72" s="25">
        <f t="shared" si="23"/>
        <v>60</v>
      </c>
      <c r="J72" s="26" t="str">
        <f t="shared" si="24"/>
        <v/>
      </c>
      <c r="K72" s="24" t="str">
        <f t="shared" si="25"/>
        <v>미입력</v>
      </c>
    </row>
    <row r="73" spans="1:11" ht="17.25" customHeight="1">
      <c r="A73" s="27">
        <v>46334</v>
      </c>
      <c r="B73" s="28" t="s">
        <v>58</v>
      </c>
      <c r="C73" s="16"/>
      <c r="D73" s="16"/>
      <c r="E73" s="16"/>
      <c r="F73" s="29">
        <f t="shared" si="20"/>
        <v>45</v>
      </c>
      <c r="G73" s="30" t="str">
        <f t="shared" si="21"/>
        <v/>
      </c>
      <c r="H73" s="28" t="str">
        <f t="shared" si="22"/>
        <v>미입력</v>
      </c>
      <c r="I73" s="29">
        <f t="shared" si="23"/>
        <v>60</v>
      </c>
      <c r="J73" s="30" t="str">
        <f t="shared" si="24"/>
        <v/>
      </c>
      <c r="K73" s="28" t="str">
        <f t="shared" si="25"/>
        <v>미입력</v>
      </c>
    </row>
    <row r="74" spans="1:11" ht="17.25" customHeight="1">
      <c r="A74" s="14">
        <v>46335</v>
      </c>
      <c r="B74" s="15" t="s">
        <v>60</v>
      </c>
      <c r="C74" s="16"/>
      <c r="D74" s="16"/>
      <c r="E74" s="16"/>
      <c r="F74" s="17">
        <f t="shared" si="20"/>
        <v>45</v>
      </c>
      <c r="G74" s="18" t="str">
        <f t="shared" si="21"/>
        <v/>
      </c>
      <c r="H74" s="15" t="str">
        <f t="shared" si="22"/>
        <v>미입력</v>
      </c>
      <c r="I74" s="17">
        <f t="shared" si="23"/>
        <v>60</v>
      </c>
      <c r="J74" s="18" t="str">
        <f t="shared" si="24"/>
        <v/>
      </c>
      <c r="K74" s="15" t="str">
        <f t="shared" si="25"/>
        <v>미입력</v>
      </c>
    </row>
    <row r="75" spans="1:11" ht="17.25" customHeight="1">
      <c r="A75" s="14">
        <v>46336</v>
      </c>
      <c r="B75" s="15" t="s">
        <v>47</v>
      </c>
      <c r="C75" s="16"/>
      <c r="D75" s="16"/>
      <c r="E75" s="16"/>
      <c r="F75" s="17">
        <f t="shared" si="20"/>
        <v>45</v>
      </c>
      <c r="G75" s="18" t="str">
        <f t="shared" si="21"/>
        <v/>
      </c>
      <c r="H75" s="15" t="str">
        <f t="shared" si="22"/>
        <v>미입력</v>
      </c>
      <c r="I75" s="17">
        <f t="shared" si="23"/>
        <v>60</v>
      </c>
      <c r="J75" s="18" t="str">
        <f t="shared" si="24"/>
        <v/>
      </c>
      <c r="K75" s="15" t="str">
        <f t="shared" si="25"/>
        <v>미입력</v>
      </c>
    </row>
    <row r="76" spans="1:11" ht="17.25" customHeight="1">
      <c r="A76" s="14">
        <v>46337</v>
      </c>
      <c r="B76" s="15" t="s">
        <v>49</v>
      </c>
      <c r="C76" s="16"/>
      <c r="D76" s="16"/>
      <c r="E76" s="16"/>
      <c r="F76" s="17">
        <f t="shared" si="20"/>
        <v>45</v>
      </c>
      <c r="G76" s="18" t="str">
        <f t="shared" si="21"/>
        <v/>
      </c>
      <c r="H76" s="15" t="str">
        <f t="shared" si="22"/>
        <v>미입력</v>
      </c>
      <c r="I76" s="17">
        <f t="shared" si="23"/>
        <v>60</v>
      </c>
      <c r="J76" s="18" t="str">
        <f t="shared" si="24"/>
        <v/>
      </c>
      <c r="K76" s="15" t="str">
        <f t="shared" si="25"/>
        <v>미입력</v>
      </c>
    </row>
    <row r="77" spans="1:11" ht="17.25" customHeight="1">
      <c r="A77" s="14">
        <v>46338</v>
      </c>
      <c r="B77" s="15" t="s">
        <v>51</v>
      </c>
      <c r="C77" s="16"/>
      <c r="D77" s="16"/>
      <c r="E77" s="16"/>
      <c r="F77" s="17">
        <f t="shared" si="20"/>
        <v>45</v>
      </c>
      <c r="G77" s="18" t="str">
        <f t="shared" si="21"/>
        <v/>
      </c>
      <c r="H77" s="15" t="str">
        <f t="shared" si="22"/>
        <v>미입력</v>
      </c>
      <c r="I77" s="17">
        <f t="shared" si="23"/>
        <v>60</v>
      </c>
      <c r="J77" s="18" t="str">
        <f t="shared" si="24"/>
        <v/>
      </c>
      <c r="K77" s="15" t="str">
        <f t="shared" si="25"/>
        <v>미입력</v>
      </c>
    </row>
    <row r="78" spans="1:11" ht="17.25" customHeight="1">
      <c r="A78" s="14">
        <v>46339</v>
      </c>
      <c r="B78" s="15" t="s">
        <v>54</v>
      </c>
      <c r="C78" s="16"/>
      <c r="D78" s="16"/>
      <c r="E78" s="16"/>
      <c r="F78" s="17">
        <f t="shared" si="20"/>
        <v>45</v>
      </c>
      <c r="G78" s="18" t="str">
        <f t="shared" si="21"/>
        <v/>
      </c>
      <c r="H78" s="15" t="str">
        <f t="shared" si="22"/>
        <v>미입력</v>
      </c>
      <c r="I78" s="17">
        <f t="shared" si="23"/>
        <v>60</v>
      </c>
      <c r="J78" s="18" t="str">
        <f t="shared" si="24"/>
        <v/>
      </c>
      <c r="K78" s="15" t="str">
        <f t="shared" si="25"/>
        <v>미입력</v>
      </c>
    </row>
    <row r="79" spans="1:11" ht="17.25" customHeight="1">
      <c r="A79" s="23">
        <v>46340</v>
      </c>
      <c r="B79" s="24" t="s">
        <v>56</v>
      </c>
      <c r="C79" s="16"/>
      <c r="D79" s="16"/>
      <c r="E79" s="16"/>
      <c r="F79" s="25">
        <f t="shared" si="20"/>
        <v>45</v>
      </c>
      <c r="G79" s="26" t="str">
        <f t="shared" si="21"/>
        <v/>
      </c>
      <c r="H79" s="24" t="str">
        <f t="shared" si="22"/>
        <v>미입력</v>
      </c>
      <c r="I79" s="25">
        <f t="shared" si="23"/>
        <v>60</v>
      </c>
      <c r="J79" s="26" t="str">
        <f t="shared" si="24"/>
        <v/>
      </c>
      <c r="K79" s="24" t="str">
        <f t="shared" si="25"/>
        <v>미입력</v>
      </c>
    </row>
    <row r="80" spans="1:11" ht="17.25" customHeight="1">
      <c r="A80" s="27">
        <v>46341</v>
      </c>
      <c r="B80" s="28" t="s">
        <v>58</v>
      </c>
      <c r="C80" s="16"/>
      <c r="D80" s="16"/>
      <c r="E80" s="16"/>
      <c r="F80" s="29">
        <f t="shared" si="20"/>
        <v>45</v>
      </c>
      <c r="G80" s="30" t="str">
        <f t="shared" si="21"/>
        <v/>
      </c>
      <c r="H80" s="28" t="str">
        <f t="shared" si="22"/>
        <v>미입력</v>
      </c>
      <c r="I80" s="29">
        <f t="shared" si="23"/>
        <v>60</v>
      </c>
      <c r="J80" s="30" t="str">
        <f t="shared" si="24"/>
        <v/>
      </c>
      <c r="K80" s="28" t="str">
        <f t="shared" si="25"/>
        <v>미입력</v>
      </c>
    </row>
    <row r="81" spans="1:11" ht="17.25" customHeight="1">
      <c r="A81" s="14">
        <v>46342</v>
      </c>
      <c r="B81" s="15" t="s">
        <v>60</v>
      </c>
      <c r="C81" s="16"/>
      <c r="D81" s="16"/>
      <c r="E81" s="16"/>
      <c r="F81" s="17">
        <f t="shared" si="20"/>
        <v>45</v>
      </c>
      <c r="G81" s="18" t="str">
        <f t="shared" si="21"/>
        <v/>
      </c>
      <c r="H81" s="15" t="str">
        <f t="shared" si="22"/>
        <v>미입력</v>
      </c>
      <c r="I81" s="17">
        <f t="shared" si="23"/>
        <v>60</v>
      </c>
      <c r="J81" s="18" t="str">
        <f t="shared" si="24"/>
        <v/>
      </c>
      <c r="K81" s="15" t="str">
        <f t="shared" si="25"/>
        <v>미입력</v>
      </c>
    </row>
    <row r="82" spans="1:11" ht="17.25" customHeight="1">
      <c r="A82" s="14">
        <v>46343</v>
      </c>
      <c r="B82" s="15" t="s">
        <v>47</v>
      </c>
      <c r="C82" s="16"/>
      <c r="D82" s="16"/>
      <c r="E82" s="16"/>
      <c r="F82" s="17">
        <f t="shared" si="20"/>
        <v>45</v>
      </c>
      <c r="G82" s="18" t="str">
        <f t="shared" si="21"/>
        <v/>
      </c>
      <c r="H82" s="15" t="str">
        <f t="shared" si="22"/>
        <v>미입력</v>
      </c>
      <c r="I82" s="17">
        <f t="shared" si="23"/>
        <v>60</v>
      </c>
      <c r="J82" s="18" t="str">
        <f t="shared" si="24"/>
        <v/>
      </c>
      <c r="K82" s="15" t="str">
        <f t="shared" si="25"/>
        <v>미입력</v>
      </c>
    </row>
    <row r="83" spans="1:11" ht="17.25" customHeight="1">
      <c r="A83" s="14">
        <v>46344</v>
      </c>
      <c r="B83" s="15" t="s">
        <v>49</v>
      </c>
      <c r="C83" s="16"/>
      <c r="D83" s="16"/>
      <c r="E83" s="16"/>
      <c r="F83" s="17">
        <f t="shared" si="20"/>
        <v>45</v>
      </c>
      <c r="G83" s="18" t="str">
        <f t="shared" si="21"/>
        <v/>
      </c>
      <c r="H83" s="15" t="str">
        <f t="shared" si="22"/>
        <v>미입력</v>
      </c>
      <c r="I83" s="17">
        <f t="shared" si="23"/>
        <v>60</v>
      </c>
      <c r="J83" s="18" t="str">
        <f t="shared" si="24"/>
        <v/>
      </c>
      <c r="K83" s="15" t="str">
        <f t="shared" si="25"/>
        <v>미입력</v>
      </c>
    </row>
    <row r="84" spans="1:11" ht="17.25" customHeight="1">
      <c r="A84" s="14">
        <v>46345</v>
      </c>
      <c r="B84" s="15" t="s">
        <v>51</v>
      </c>
      <c r="C84" s="16"/>
      <c r="D84" s="16"/>
      <c r="E84" s="16"/>
      <c r="F84" s="17">
        <f t="shared" si="20"/>
        <v>45</v>
      </c>
      <c r="G84" s="18" t="str">
        <f t="shared" si="21"/>
        <v/>
      </c>
      <c r="H84" s="15" t="str">
        <f t="shared" si="22"/>
        <v>미입력</v>
      </c>
      <c r="I84" s="17">
        <f t="shared" si="23"/>
        <v>60</v>
      </c>
      <c r="J84" s="18" t="str">
        <f t="shared" si="24"/>
        <v/>
      </c>
      <c r="K84" s="15" t="str">
        <f t="shared" si="25"/>
        <v>미입력</v>
      </c>
    </row>
    <row r="85" spans="1:11" ht="17.25" customHeight="1">
      <c r="A85" s="14">
        <v>46346</v>
      </c>
      <c r="B85" s="15" t="s">
        <v>54</v>
      </c>
      <c r="C85" s="16"/>
      <c r="D85" s="16"/>
      <c r="E85" s="16"/>
      <c r="F85" s="17">
        <f t="shared" si="20"/>
        <v>45</v>
      </c>
      <c r="G85" s="18" t="str">
        <f t="shared" si="21"/>
        <v/>
      </c>
      <c r="H85" s="15" t="str">
        <f t="shared" si="22"/>
        <v>미입력</v>
      </c>
      <c r="I85" s="17">
        <f t="shared" si="23"/>
        <v>60</v>
      </c>
      <c r="J85" s="18" t="str">
        <f t="shared" si="24"/>
        <v/>
      </c>
      <c r="K85" s="15" t="str">
        <f t="shared" si="25"/>
        <v>미입력</v>
      </c>
    </row>
    <row r="86" spans="1:11" ht="17.25" customHeight="1">
      <c r="A86" s="23">
        <v>46347</v>
      </c>
      <c r="B86" s="24" t="s">
        <v>56</v>
      </c>
      <c r="C86" s="16"/>
      <c r="D86" s="16"/>
      <c r="E86" s="16"/>
      <c r="F86" s="25">
        <f t="shared" si="20"/>
        <v>45</v>
      </c>
      <c r="G86" s="26" t="str">
        <f t="shared" si="21"/>
        <v/>
      </c>
      <c r="H86" s="24" t="str">
        <f t="shared" si="22"/>
        <v>미입력</v>
      </c>
      <c r="I86" s="25">
        <f t="shared" si="23"/>
        <v>60</v>
      </c>
      <c r="J86" s="26" t="str">
        <f t="shared" si="24"/>
        <v/>
      </c>
      <c r="K86" s="24" t="str">
        <f t="shared" si="25"/>
        <v>미입력</v>
      </c>
    </row>
    <row r="87" spans="1:11" ht="17.25" customHeight="1">
      <c r="A87" s="27">
        <v>46348</v>
      </c>
      <c r="B87" s="28" t="s">
        <v>58</v>
      </c>
      <c r="C87" s="16"/>
      <c r="D87" s="16"/>
      <c r="E87" s="16"/>
      <c r="F87" s="29">
        <f t="shared" si="20"/>
        <v>45</v>
      </c>
      <c r="G87" s="30" t="str">
        <f t="shared" si="21"/>
        <v/>
      </c>
      <c r="H87" s="28" t="str">
        <f t="shared" si="22"/>
        <v>미입력</v>
      </c>
      <c r="I87" s="29">
        <f t="shared" si="23"/>
        <v>60</v>
      </c>
      <c r="J87" s="30" t="str">
        <f t="shared" si="24"/>
        <v/>
      </c>
      <c r="K87" s="28" t="str">
        <f t="shared" si="25"/>
        <v>미입력</v>
      </c>
    </row>
    <row r="88" spans="1:11" ht="17.25" customHeight="1">
      <c r="A88" s="14">
        <v>46349</v>
      </c>
      <c r="B88" s="15" t="s">
        <v>60</v>
      </c>
      <c r="C88" s="16"/>
      <c r="D88" s="16"/>
      <c r="E88" s="16"/>
      <c r="F88" s="17">
        <f t="shared" si="20"/>
        <v>45</v>
      </c>
      <c r="G88" s="18" t="str">
        <f t="shared" si="21"/>
        <v/>
      </c>
      <c r="H88" s="15" t="str">
        <f t="shared" si="22"/>
        <v>미입력</v>
      </c>
      <c r="I88" s="17">
        <f t="shared" si="23"/>
        <v>60</v>
      </c>
      <c r="J88" s="18" t="str">
        <f t="shared" si="24"/>
        <v/>
      </c>
      <c r="K88" s="15" t="str">
        <f t="shared" si="25"/>
        <v>미입력</v>
      </c>
    </row>
    <row r="89" spans="1:11" ht="17.25" customHeight="1">
      <c r="A89" s="14">
        <v>46350</v>
      </c>
      <c r="B89" s="15" t="s">
        <v>47</v>
      </c>
      <c r="C89" s="16"/>
      <c r="D89" s="16"/>
      <c r="E89" s="16"/>
      <c r="F89" s="17">
        <f t="shared" si="20"/>
        <v>45</v>
      </c>
      <c r="G89" s="18" t="str">
        <f t="shared" si="21"/>
        <v/>
      </c>
      <c r="H89" s="15" t="str">
        <f t="shared" si="22"/>
        <v>미입력</v>
      </c>
      <c r="I89" s="17">
        <f t="shared" si="23"/>
        <v>60</v>
      </c>
      <c r="J89" s="18" t="str">
        <f t="shared" si="24"/>
        <v/>
      </c>
      <c r="K89" s="15" t="str">
        <f t="shared" si="25"/>
        <v>미입력</v>
      </c>
    </row>
    <row r="90" spans="1:11" ht="17.25" customHeight="1">
      <c r="A90" s="14">
        <v>46351</v>
      </c>
      <c r="B90" s="15" t="s">
        <v>49</v>
      </c>
      <c r="C90" s="16"/>
      <c r="D90" s="16"/>
      <c r="E90" s="16"/>
      <c r="F90" s="17">
        <f t="shared" si="20"/>
        <v>45</v>
      </c>
      <c r="G90" s="18" t="str">
        <f t="shared" si="21"/>
        <v/>
      </c>
      <c r="H90" s="15" t="str">
        <f t="shared" si="22"/>
        <v>미입력</v>
      </c>
      <c r="I90" s="17">
        <f t="shared" si="23"/>
        <v>60</v>
      </c>
      <c r="J90" s="18" t="str">
        <f t="shared" si="24"/>
        <v/>
      </c>
      <c r="K90" s="15" t="str">
        <f t="shared" si="25"/>
        <v>미입력</v>
      </c>
    </row>
    <row r="91" spans="1:11" ht="17.25" customHeight="1">
      <c r="A91" s="14">
        <v>46352</v>
      </c>
      <c r="B91" s="15" t="s">
        <v>51</v>
      </c>
      <c r="C91" s="16"/>
      <c r="D91" s="16"/>
      <c r="E91" s="16"/>
      <c r="F91" s="17">
        <f t="shared" si="20"/>
        <v>45</v>
      </c>
      <c r="G91" s="18" t="str">
        <f t="shared" si="21"/>
        <v/>
      </c>
      <c r="H91" s="15" t="str">
        <f t="shared" si="22"/>
        <v>미입력</v>
      </c>
      <c r="I91" s="17">
        <f t="shared" si="23"/>
        <v>60</v>
      </c>
      <c r="J91" s="18" t="str">
        <f t="shared" si="24"/>
        <v/>
      </c>
      <c r="K91" s="15" t="str">
        <f t="shared" si="25"/>
        <v>미입력</v>
      </c>
    </row>
    <row r="92" spans="1:11" ht="17.25" customHeight="1">
      <c r="A92" s="14">
        <v>46353</v>
      </c>
      <c r="B92" s="15" t="s">
        <v>54</v>
      </c>
      <c r="C92" s="16"/>
      <c r="D92" s="16"/>
      <c r="E92" s="16"/>
      <c r="F92" s="17">
        <f t="shared" si="20"/>
        <v>45</v>
      </c>
      <c r="G92" s="18" t="str">
        <f t="shared" si="21"/>
        <v/>
      </c>
      <c r="H92" s="15" t="str">
        <f t="shared" si="22"/>
        <v>미입력</v>
      </c>
      <c r="I92" s="17">
        <f t="shared" si="23"/>
        <v>60</v>
      </c>
      <c r="J92" s="18" t="str">
        <f t="shared" si="24"/>
        <v/>
      </c>
      <c r="K92" s="15" t="str">
        <f t="shared" si="25"/>
        <v>미입력</v>
      </c>
    </row>
    <row r="93" spans="1:11" ht="17.25" customHeight="1">
      <c r="A93" s="23">
        <v>46354</v>
      </c>
      <c r="B93" s="24" t="s">
        <v>56</v>
      </c>
      <c r="C93" s="16"/>
      <c r="D93" s="16"/>
      <c r="E93" s="16"/>
      <c r="F93" s="25">
        <f t="shared" si="20"/>
        <v>45</v>
      </c>
      <c r="G93" s="26" t="str">
        <f t="shared" si="21"/>
        <v/>
      </c>
      <c r="H93" s="24" t="str">
        <f t="shared" si="22"/>
        <v>미입력</v>
      </c>
      <c r="I93" s="25">
        <f t="shared" si="23"/>
        <v>60</v>
      </c>
      <c r="J93" s="26" t="str">
        <f t="shared" si="24"/>
        <v/>
      </c>
      <c r="K93" s="24" t="str">
        <f t="shared" si="25"/>
        <v>미입력</v>
      </c>
    </row>
    <row r="94" spans="1:11" ht="17.25" customHeight="1">
      <c r="A94" s="27">
        <v>46355</v>
      </c>
      <c r="B94" s="28" t="s">
        <v>58</v>
      </c>
      <c r="C94" s="16"/>
      <c r="D94" s="16"/>
      <c r="E94" s="16"/>
      <c r="F94" s="29">
        <f t="shared" si="20"/>
        <v>45</v>
      </c>
      <c r="G94" s="30" t="str">
        <f t="shared" si="21"/>
        <v/>
      </c>
      <c r="H94" s="28" t="str">
        <f t="shared" si="22"/>
        <v>미입력</v>
      </c>
      <c r="I94" s="29">
        <f t="shared" si="23"/>
        <v>60</v>
      </c>
      <c r="J94" s="30" t="str">
        <f t="shared" si="24"/>
        <v/>
      </c>
      <c r="K94" s="28" t="str">
        <f t="shared" si="25"/>
        <v>미입력</v>
      </c>
    </row>
    <row r="95" spans="1:11" ht="17.25" customHeight="1">
      <c r="A95" s="14">
        <v>46356</v>
      </c>
      <c r="B95" s="15" t="s">
        <v>60</v>
      </c>
      <c r="C95" s="16"/>
      <c r="D95" s="16"/>
      <c r="E95" s="16"/>
      <c r="F95" s="17">
        <f t="shared" si="20"/>
        <v>45</v>
      </c>
      <c r="G95" s="18" t="str">
        <f t="shared" si="21"/>
        <v/>
      </c>
      <c r="H95" s="15" t="str">
        <f t="shared" si="22"/>
        <v>미입력</v>
      </c>
      <c r="I95" s="17">
        <f t="shared" si="23"/>
        <v>60</v>
      </c>
      <c r="J95" s="18" t="str">
        <f t="shared" si="24"/>
        <v/>
      </c>
      <c r="K95" s="15" t="str">
        <f t="shared" si="25"/>
        <v>미입력</v>
      </c>
    </row>
    <row r="96" spans="1:11" ht="17.25" customHeight="1">
      <c r="A96" s="14">
        <v>46357</v>
      </c>
      <c r="B96" s="15" t="s">
        <v>47</v>
      </c>
      <c r="C96" s="16"/>
      <c r="D96" s="16"/>
      <c r="E96" s="16"/>
      <c r="F96" s="17">
        <f t="shared" si="20"/>
        <v>45</v>
      </c>
      <c r="G96" s="18" t="str">
        <f t="shared" si="21"/>
        <v/>
      </c>
      <c r="H96" s="15" t="str">
        <f t="shared" si="22"/>
        <v>미입력</v>
      </c>
      <c r="I96" s="17">
        <f t="shared" si="23"/>
        <v>60</v>
      </c>
      <c r="J96" s="18" t="str">
        <f t="shared" si="24"/>
        <v/>
      </c>
      <c r="K96" s="15" t="str">
        <f t="shared" si="25"/>
        <v>미입력</v>
      </c>
    </row>
    <row r="97" spans="1:11" ht="17.25" customHeight="1">
      <c r="A97" s="14">
        <v>46358</v>
      </c>
      <c r="B97" s="15" t="s">
        <v>49</v>
      </c>
      <c r="C97" s="16"/>
      <c r="D97" s="16"/>
      <c r="E97" s="16"/>
      <c r="F97" s="17">
        <f t="shared" si="20"/>
        <v>45</v>
      </c>
      <c r="G97" s="18" t="str">
        <f t="shared" si="21"/>
        <v/>
      </c>
      <c r="H97" s="15" t="str">
        <f t="shared" si="22"/>
        <v>미입력</v>
      </c>
      <c r="I97" s="17">
        <f t="shared" si="23"/>
        <v>60</v>
      </c>
      <c r="J97" s="18" t="str">
        <f t="shared" si="24"/>
        <v/>
      </c>
      <c r="K97" s="15" t="str">
        <f t="shared" si="25"/>
        <v>미입력</v>
      </c>
    </row>
    <row r="98" spans="1:11" ht="17.25" customHeight="1">
      <c r="A98" s="14">
        <v>46359</v>
      </c>
      <c r="B98" s="15" t="s">
        <v>51</v>
      </c>
      <c r="C98" s="16"/>
      <c r="D98" s="16"/>
      <c r="E98" s="16"/>
      <c r="F98" s="17">
        <f t="shared" si="20"/>
        <v>45</v>
      </c>
      <c r="G98" s="18" t="str">
        <f t="shared" si="21"/>
        <v/>
      </c>
      <c r="H98" s="15" t="str">
        <f t="shared" si="22"/>
        <v>미입력</v>
      </c>
      <c r="I98" s="17">
        <f t="shared" si="23"/>
        <v>60</v>
      </c>
      <c r="J98" s="18" t="str">
        <f t="shared" si="24"/>
        <v/>
      </c>
      <c r="K98" s="15" t="str">
        <f t="shared" si="25"/>
        <v>미입력</v>
      </c>
    </row>
    <row r="99" spans="1:11" ht="17.25" customHeight="1">
      <c r="A99" s="14">
        <v>46360</v>
      </c>
      <c r="B99" s="15" t="s">
        <v>54</v>
      </c>
      <c r="C99" s="16"/>
      <c r="D99" s="16"/>
      <c r="E99" s="16"/>
      <c r="F99" s="17">
        <f t="shared" si="20"/>
        <v>45</v>
      </c>
      <c r="G99" s="18" t="str">
        <f t="shared" si="21"/>
        <v/>
      </c>
      <c r="H99" s="15" t="str">
        <f t="shared" si="22"/>
        <v>미입력</v>
      </c>
      <c r="I99" s="17">
        <f t="shared" si="23"/>
        <v>60</v>
      </c>
      <c r="J99" s="18" t="str">
        <f t="shared" si="24"/>
        <v/>
      </c>
      <c r="K99" s="15" t="str">
        <f t="shared" si="25"/>
        <v>미입력</v>
      </c>
    </row>
    <row r="100" spans="1:11" ht="17.25" customHeight="1">
      <c r="A100" s="23">
        <v>46361</v>
      </c>
      <c r="B100" s="24" t="s">
        <v>56</v>
      </c>
      <c r="C100" s="16"/>
      <c r="D100" s="16"/>
      <c r="E100" s="16"/>
      <c r="F100" s="25">
        <f t="shared" si="20"/>
        <v>45</v>
      </c>
      <c r="G100" s="26" t="str">
        <f t="shared" si="21"/>
        <v/>
      </c>
      <c r="H100" s="24" t="str">
        <f t="shared" si="22"/>
        <v>미입력</v>
      </c>
      <c r="I100" s="25">
        <f t="shared" si="23"/>
        <v>60</v>
      </c>
      <c r="J100" s="26" t="str">
        <f t="shared" si="24"/>
        <v/>
      </c>
      <c r="K100" s="24" t="str">
        <f t="shared" si="25"/>
        <v>미입력</v>
      </c>
    </row>
    <row r="101" spans="1:11" ht="17.25" customHeight="1">
      <c r="A101" s="27">
        <v>46362</v>
      </c>
      <c r="B101" s="28" t="s">
        <v>58</v>
      </c>
      <c r="C101" s="16"/>
      <c r="D101" s="16"/>
      <c r="E101" s="16"/>
      <c r="F101" s="29">
        <f t="shared" ref="F101:F126" si="26">IF(OR($E101="오전반차",$E101="오후반차"),$D$2/2,$D$2)</f>
        <v>45</v>
      </c>
      <c r="G101" s="30" t="str">
        <f t="shared" ref="G101:G126" si="27">IF($C101="","",$C101/$F101)</f>
        <v/>
      </c>
      <c r="H101" s="28" t="str">
        <f t="shared" ref="H101:H126" si="28">IF($C101="",IF($E101="","미입력",$E101),IF($C101&gt;=$F101,"달성","미달"))</f>
        <v>미입력</v>
      </c>
      <c r="I101" s="29">
        <f t="shared" ref="I101:I126" si="29">IF(OR($E101="오전반차",$E101="오후반차"),$F$2/2,$F$2)</f>
        <v>60</v>
      </c>
      <c r="J101" s="30" t="str">
        <f t="shared" ref="J101:J126" si="30">IF($D101="","",$D101/$I101)</f>
        <v/>
      </c>
      <c r="K101" s="28" t="str">
        <f t="shared" ref="K101:K126" si="31">IF($D101="",IF($E101="","미입력",$E101),IF($D101&gt;=$I101,"달성","미달"))</f>
        <v>미입력</v>
      </c>
    </row>
    <row r="102" spans="1:11" ht="17.25" customHeight="1">
      <c r="A102" s="14">
        <v>46363</v>
      </c>
      <c r="B102" s="15" t="s">
        <v>60</v>
      </c>
      <c r="C102" s="16"/>
      <c r="D102" s="16"/>
      <c r="E102" s="16"/>
      <c r="F102" s="17">
        <f t="shared" si="26"/>
        <v>45</v>
      </c>
      <c r="G102" s="18" t="str">
        <f t="shared" si="27"/>
        <v/>
      </c>
      <c r="H102" s="15" t="str">
        <f t="shared" si="28"/>
        <v>미입력</v>
      </c>
      <c r="I102" s="17">
        <f t="shared" si="29"/>
        <v>60</v>
      </c>
      <c r="J102" s="18" t="str">
        <f t="shared" si="30"/>
        <v/>
      </c>
      <c r="K102" s="15" t="str">
        <f t="shared" si="31"/>
        <v>미입력</v>
      </c>
    </row>
    <row r="103" spans="1:11" ht="17.25" customHeight="1">
      <c r="A103" s="14">
        <v>46364</v>
      </c>
      <c r="B103" s="15" t="s">
        <v>47</v>
      </c>
      <c r="C103" s="16"/>
      <c r="D103" s="16"/>
      <c r="E103" s="16"/>
      <c r="F103" s="17">
        <f t="shared" si="26"/>
        <v>45</v>
      </c>
      <c r="G103" s="18" t="str">
        <f t="shared" si="27"/>
        <v/>
      </c>
      <c r="H103" s="15" t="str">
        <f t="shared" si="28"/>
        <v>미입력</v>
      </c>
      <c r="I103" s="17">
        <f t="shared" si="29"/>
        <v>60</v>
      </c>
      <c r="J103" s="18" t="str">
        <f t="shared" si="30"/>
        <v/>
      </c>
      <c r="K103" s="15" t="str">
        <f t="shared" si="31"/>
        <v>미입력</v>
      </c>
    </row>
    <row r="104" spans="1:11" ht="17.25" customHeight="1">
      <c r="A104" s="14">
        <v>46365</v>
      </c>
      <c r="B104" s="15" t="s">
        <v>49</v>
      </c>
      <c r="C104" s="16"/>
      <c r="D104" s="16"/>
      <c r="E104" s="16"/>
      <c r="F104" s="17">
        <f t="shared" si="26"/>
        <v>45</v>
      </c>
      <c r="G104" s="18" t="str">
        <f t="shared" si="27"/>
        <v/>
      </c>
      <c r="H104" s="15" t="str">
        <f t="shared" si="28"/>
        <v>미입력</v>
      </c>
      <c r="I104" s="17">
        <f t="shared" si="29"/>
        <v>60</v>
      </c>
      <c r="J104" s="18" t="str">
        <f t="shared" si="30"/>
        <v/>
      </c>
      <c r="K104" s="15" t="str">
        <f t="shared" si="31"/>
        <v>미입력</v>
      </c>
    </row>
    <row r="105" spans="1:11" ht="17.25" customHeight="1">
      <c r="A105" s="14">
        <v>46366</v>
      </c>
      <c r="B105" s="15" t="s">
        <v>51</v>
      </c>
      <c r="C105" s="16"/>
      <c r="D105" s="16"/>
      <c r="E105" s="16"/>
      <c r="F105" s="17">
        <f t="shared" si="26"/>
        <v>45</v>
      </c>
      <c r="G105" s="18" t="str">
        <f t="shared" si="27"/>
        <v/>
      </c>
      <c r="H105" s="15" t="str">
        <f t="shared" si="28"/>
        <v>미입력</v>
      </c>
      <c r="I105" s="17">
        <f t="shared" si="29"/>
        <v>60</v>
      </c>
      <c r="J105" s="18" t="str">
        <f t="shared" si="30"/>
        <v/>
      </c>
      <c r="K105" s="15" t="str">
        <f t="shared" si="31"/>
        <v>미입력</v>
      </c>
    </row>
    <row r="106" spans="1:11" ht="17.25" customHeight="1">
      <c r="A106" s="14">
        <v>46367</v>
      </c>
      <c r="B106" s="15" t="s">
        <v>54</v>
      </c>
      <c r="C106" s="16"/>
      <c r="D106" s="16"/>
      <c r="E106" s="16"/>
      <c r="F106" s="17">
        <f t="shared" si="26"/>
        <v>45</v>
      </c>
      <c r="G106" s="18" t="str">
        <f t="shared" si="27"/>
        <v/>
      </c>
      <c r="H106" s="15" t="str">
        <f t="shared" si="28"/>
        <v>미입력</v>
      </c>
      <c r="I106" s="17">
        <f t="shared" si="29"/>
        <v>60</v>
      </c>
      <c r="J106" s="18" t="str">
        <f t="shared" si="30"/>
        <v/>
      </c>
      <c r="K106" s="15" t="str">
        <f t="shared" si="31"/>
        <v>미입력</v>
      </c>
    </row>
    <row r="107" spans="1:11" ht="17.25" customHeight="1">
      <c r="A107" s="23">
        <v>46368</v>
      </c>
      <c r="B107" s="24" t="s">
        <v>56</v>
      </c>
      <c r="C107" s="16"/>
      <c r="D107" s="16"/>
      <c r="E107" s="16"/>
      <c r="F107" s="25">
        <f t="shared" si="26"/>
        <v>45</v>
      </c>
      <c r="G107" s="26" t="str">
        <f t="shared" si="27"/>
        <v/>
      </c>
      <c r="H107" s="24" t="str">
        <f t="shared" si="28"/>
        <v>미입력</v>
      </c>
      <c r="I107" s="25">
        <f t="shared" si="29"/>
        <v>60</v>
      </c>
      <c r="J107" s="26" t="str">
        <f t="shared" si="30"/>
        <v/>
      </c>
      <c r="K107" s="24" t="str">
        <f t="shared" si="31"/>
        <v>미입력</v>
      </c>
    </row>
    <row r="108" spans="1:11" ht="17.25" customHeight="1">
      <c r="A108" s="27">
        <v>46369</v>
      </c>
      <c r="B108" s="28" t="s">
        <v>58</v>
      </c>
      <c r="C108" s="16"/>
      <c r="D108" s="16"/>
      <c r="E108" s="16"/>
      <c r="F108" s="29">
        <f t="shared" si="26"/>
        <v>45</v>
      </c>
      <c r="G108" s="30" t="str">
        <f t="shared" si="27"/>
        <v/>
      </c>
      <c r="H108" s="28" t="str">
        <f t="shared" si="28"/>
        <v>미입력</v>
      </c>
      <c r="I108" s="29">
        <f t="shared" si="29"/>
        <v>60</v>
      </c>
      <c r="J108" s="30" t="str">
        <f t="shared" si="30"/>
        <v/>
      </c>
      <c r="K108" s="28" t="str">
        <f t="shared" si="31"/>
        <v>미입력</v>
      </c>
    </row>
    <row r="109" spans="1:11" ht="17.25" customHeight="1">
      <c r="A109" s="14">
        <v>46370</v>
      </c>
      <c r="B109" s="15" t="s">
        <v>60</v>
      </c>
      <c r="C109" s="16"/>
      <c r="D109" s="16"/>
      <c r="E109" s="16"/>
      <c r="F109" s="17">
        <f t="shared" si="26"/>
        <v>45</v>
      </c>
      <c r="G109" s="18" t="str">
        <f t="shared" si="27"/>
        <v/>
      </c>
      <c r="H109" s="15" t="str">
        <f t="shared" si="28"/>
        <v>미입력</v>
      </c>
      <c r="I109" s="17">
        <f t="shared" si="29"/>
        <v>60</v>
      </c>
      <c r="J109" s="18" t="str">
        <f t="shared" si="30"/>
        <v/>
      </c>
      <c r="K109" s="15" t="str">
        <f t="shared" si="31"/>
        <v>미입력</v>
      </c>
    </row>
    <row r="110" spans="1:11" ht="17.25" customHeight="1">
      <c r="A110" s="14">
        <v>46371</v>
      </c>
      <c r="B110" s="15" t="s">
        <v>47</v>
      </c>
      <c r="C110" s="16"/>
      <c r="D110" s="16"/>
      <c r="E110" s="16"/>
      <c r="F110" s="17">
        <f t="shared" si="26"/>
        <v>45</v>
      </c>
      <c r="G110" s="18" t="str">
        <f t="shared" si="27"/>
        <v/>
      </c>
      <c r="H110" s="15" t="str">
        <f t="shared" si="28"/>
        <v>미입력</v>
      </c>
      <c r="I110" s="17">
        <f t="shared" si="29"/>
        <v>60</v>
      </c>
      <c r="J110" s="18" t="str">
        <f t="shared" si="30"/>
        <v/>
      </c>
      <c r="K110" s="15" t="str">
        <f t="shared" si="31"/>
        <v>미입력</v>
      </c>
    </row>
    <row r="111" spans="1:11" ht="17.25" customHeight="1">
      <c r="A111" s="14">
        <v>46372</v>
      </c>
      <c r="B111" s="15" t="s">
        <v>49</v>
      </c>
      <c r="C111" s="16"/>
      <c r="D111" s="16"/>
      <c r="E111" s="16"/>
      <c r="F111" s="17">
        <f t="shared" si="26"/>
        <v>45</v>
      </c>
      <c r="G111" s="18" t="str">
        <f t="shared" si="27"/>
        <v/>
      </c>
      <c r="H111" s="15" t="str">
        <f t="shared" si="28"/>
        <v>미입력</v>
      </c>
      <c r="I111" s="17">
        <f t="shared" si="29"/>
        <v>60</v>
      </c>
      <c r="J111" s="18" t="str">
        <f t="shared" si="30"/>
        <v/>
      </c>
      <c r="K111" s="15" t="str">
        <f t="shared" si="31"/>
        <v>미입력</v>
      </c>
    </row>
    <row r="112" spans="1:11" ht="17.25" customHeight="1">
      <c r="A112" s="14">
        <v>46373</v>
      </c>
      <c r="B112" s="15" t="s">
        <v>51</v>
      </c>
      <c r="C112" s="16"/>
      <c r="D112" s="16"/>
      <c r="E112" s="16"/>
      <c r="F112" s="17">
        <f t="shared" si="26"/>
        <v>45</v>
      </c>
      <c r="G112" s="18" t="str">
        <f t="shared" si="27"/>
        <v/>
      </c>
      <c r="H112" s="15" t="str">
        <f t="shared" si="28"/>
        <v>미입력</v>
      </c>
      <c r="I112" s="17">
        <f t="shared" si="29"/>
        <v>60</v>
      </c>
      <c r="J112" s="18" t="str">
        <f t="shared" si="30"/>
        <v/>
      </c>
      <c r="K112" s="15" t="str">
        <f t="shared" si="31"/>
        <v>미입력</v>
      </c>
    </row>
    <row r="113" spans="1:11" ht="17.25" customHeight="1">
      <c r="A113" s="14">
        <v>46374</v>
      </c>
      <c r="B113" s="15" t="s">
        <v>54</v>
      </c>
      <c r="C113" s="16"/>
      <c r="D113" s="16"/>
      <c r="E113" s="16"/>
      <c r="F113" s="17">
        <f t="shared" si="26"/>
        <v>45</v>
      </c>
      <c r="G113" s="18" t="str">
        <f t="shared" si="27"/>
        <v/>
      </c>
      <c r="H113" s="15" t="str">
        <f t="shared" si="28"/>
        <v>미입력</v>
      </c>
      <c r="I113" s="17">
        <f t="shared" si="29"/>
        <v>60</v>
      </c>
      <c r="J113" s="18" t="str">
        <f t="shared" si="30"/>
        <v/>
      </c>
      <c r="K113" s="15" t="str">
        <f t="shared" si="31"/>
        <v>미입력</v>
      </c>
    </row>
    <row r="114" spans="1:11" ht="17.25" customHeight="1">
      <c r="A114" s="23">
        <v>46375</v>
      </c>
      <c r="B114" s="24" t="s">
        <v>56</v>
      </c>
      <c r="C114" s="16"/>
      <c r="D114" s="16"/>
      <c r="E114" s="16"/>
      <c r="F114" s="25">
        <f t="shared" si="26"/>
        <v>45</v>
      </c>
      <c r="G114" s="26" t="str">
        <f t="shared" si="27"/>
        <v/>
      </c>
      <c r="H114" s="24" t="str">
        <f t="shared" si="28"/>
        <v>미입력</v>
      </c>
      <c r="I114" s="25">
        <f t="shared" si="29"/>
        <v>60</v>
      </c>
      <c r="J114" s="26" t="str">
        <f t="shared" si="30"/>
        <v/>
      </c>
      <c r="K114" s="24" t="str">
        <f t="shared" si="31"/>
        <v>미입력</v>
      </c>
    </row>
    <row r="115" spans="1:11" ht="17.25" customHeight="1">
      <c r="A115" s="27">
        <v>46376</v>
      </c>
      <c r="B115" s="28" t="s">
        <v>58</v>
      </c>
      <c r="C115" s="16"/>
      <c r="D115" s="16"/>
      <c r="E115" s="16"/>
      <c r="F115" s="29">
        <f t="shared" si="26"/>
        <v>45</v>
      </c>
      <c r="G115" s="30" t="str">
        <f t="shared" si="27"/>
        <v/>
      </c>
      <c r="H115" s="28" t="str">
        <f t="shared" si="28"/>
        <v>미입력</v>
      </c>
      <c r="I115" s="29">
        <f t="shared" si="29"/>
        <v>60</v>
      </c>
      <c r="J115" s="30" t="str">
        <f t="shared" si="30"/>
        <v/>
      </c>
      <c r="K115" s="28" t="str">
        <f t="shared" si="31"/>
        <v>미입력</v>
      </c>
    </row>
    <row r="116" spans="1:11" ht="17.25" customHeight="1">
      <c r="A116" s="14">
        <v>46377</v>
      </c>
      <c r="B116" s="15" t="s">
        <v>60</v>
      </c>
      <c r="C116" s="16"/>
      <c r="D116" s="16"/>
      <c r="E116" s="16"/>
      <c r="F116" s="17">
        <f t="shared" si="26"/>
        <v>45</v>
      </c>
      <c r="G116" s="18" t="str">
        <f t="shared" si="27"/>
        <v/>
      </c>
      <c r="H116" s="15" t="str">
        <f t="shared" si="28"/>
        <v>미입력</v>
      </c>
      <c r="I116" s="17">
        <f t="shared" si="29"/>
        <v>60</v>
      </c>
      <c r="J116" s="18" t="str">
        <f t="shared" si="30"/>
        <v/>
      </c>
      <c r="K116" s="15" t="str">
        <f t="shared" si="31"/>
        <v>미입력</v>
      </c>
    </row>
    <row r="117" spans="1:11" ht="17.25" customHeight="1">
      <c r="A117" s="14">
        <v>46378</v>
      </c>
      <c r="B117" s="15" t="s">
        <v>47</v>
      </c>
      <c r="C117" s="16"/>
      <c r="D117" s="16"/>
      <c r="E117" s="16"/>
      <c r="F117" s="17">
        <f t="shared" si="26"/>
        <v>45</v>
      </c>
      <c r="G117" s="18" t="str">
        <f t="shared" si="27"/>
        <v/>
      </c>
      <c r="H117" s="15" t="str">
        <f t="shared" si="28"/>
        <v>미입력</v>
      </c>
      <c r="I117" s="17">
        <f t="shared" si="29"/>
        <v>60</v>
      </c>
      <c r="J117" s="18" t="str">
        <f t="shared" si="30"/>
        <v/>
      </c>
      <c r="K117" s="15" t="str">
        <f t="shared" si="31"/>
        <v>미입력</v>
      </c>
    </row>
    <row r="118" spans="1:11" ht="17.25" customHeight="1">
      <c r="A118" s="14">
        <v>46379</v>
      </c>
      <c r="B118" s="15" t="s">
        <v>49</v>
      </c>
      <c r="C118" s="16"/>
      <c r="D118" s="16"/>
      <c r="E118" s="16"/>
      <c r="F118" s="17">
        <f t="shared" si="26"/>
        <v>45</v>
      </c>
      <c r="G118" s="18" t="str">
        <f t="shared" si="27"/>
        <v/>
      </c>
      <c r="H118" s="15" t="str">
        <f t="shared" si="28"/>
        <v>미입력</v>
      </c>
      <c r="I118" s="17">
        <f t="shared" si="29"/>
        <v>60</v>
      </c>
      <c r="J118" s="18" t="str">
        <f t="shared" si="30"/>
        <v/>
      </c>
      <c r="K118" s="15" t="str">
        <f t="shared" si="31"/>
        <v>미입력</v>
      </c>
    </row>
    <row r="119" spans="1:11" ht="17.25" customHeight="1">
      <c r="A119" s="14">
        <v>46380</v>
      </c>
      <c r="B119" s="15" t="s">
        <v>51</v>
      </c>
      <c r="C119" s="16"/>
      <c r="D119" s="16"/>
      <c r="E119" s="16"/>
      <c r="F119" s="17">
        <f t="shared" si="26"/>
        <v>45</v>
      </c>
      <c r="G119" s="18" t="str">
        <f t="shared" si="27"/>
        <v/>
      </c>
      <c r="H119" s="15" t="str">
        <f t="shared" si="28"/>
        <v>미입력</v>
      </c>
      <c r="I119" s="17">
        <f t="shared" si="29"/>
        <v>60</v>
      </c>
      <c r="J119" s="18" t="str">
        <f t="shared" si="30"/>
        <v/>
      </c>
      <c r="K119" s="15" t="str">
        <f t="shared" si="31"/>
        <v>미입력</v>
      </c>
    </row>
    <row r="120" spans="1:11" ht="17.25" customHeight="1">
      <c r="A120" s="14">
        <v>46381</v>
      </c>
      <c r="B120" s="15" t="s">
        <v>54</v>
      </c>
      <c r="C120" s="16"/>
      <c r="D120" s="16"/>
      <c r="E120" s="16"/>
      <c r="F120" s="17">
        <f t="shared" si="26"/>
        <v>45</v>
      </c>
      <c r="G120" s="18" t="str">
        <f t="shared" si="27"/>
        <v/>
      </c>
      <c r="H120" s="15" t="str">
        <f t="shared" si="28"/>
        <v>미입력</v>
      </c>
      <c r="I120" s="17">
        <f t="shared" si="29"/>
        <v>60</v>
      </c>
      <c r="J120" s="18" t="str">
        <f t="shared" si="30"/>
        <v/>
      </c>
      <c r="K120" s="15" t="str">
        <f t="shared" si="31"/>
        <v>미입력</v>
      </c>
    </row>
    <row r="121" spans="1:11" ht="17.25" customHeight="1">
      <c r="A121" s="23">
        <v>46382</v>
      </c>
      <c r="B121" s="24" t="s">
        <v>56</v>
      </c>
      <c r="C121" s="16"/>
      <c r="D121" s="16"/>
      <c r="E121" s="16"/>
      <c r="F121" s="25">
        <f t="shared" si="26"/>
        <v>45</v>
      </c>
      <c r="G121" s="26" t="str">
        <f t="shared" si="27"/>
        <v/>
      </c>
      <c r="H121" s="24" t="str">
        <f t="shared" si="28"/>
        <v>미입력</v>
      </c>
      <c r="I121" s="25">
        <f t="shared" si="29"/>
        <v>60</v>
      </c>
      <c r="J121" s="26" t="str">
        <f t="shared" si="30"/>
        <v/>
      </c>
      <c r="K121" s="24" t="str">
        <f t="shared" si="31"/>
        <v>미입력</v>
      </c>
    </row>
    <row r="122" spans="1:11" ht="17.25" customHeight="1">
      <c r="A122" s="27">
        <v>46383</v>
      </c>
      <c r="B122" s="28" t="s">
        <v>58</v>
      </c>
      <c r="C122" s="16"/>
      <c r="D122" s="16"/>
      <c r="E122" s="16"/>
      <c r="F122" s="29">
        <f t="shared" si="26"/>
        <v>45</v>
      </c>
      <c r="G122" s="30" t="str">
        <f t="shared" si="27"/>
        <v/>
      </c>
      <c r="H122" s="28" t="str">
        <f t="shared" si="28"/>
        <v>미입력</v>
      </c>
      <c r="I122" s="29">
        <f t="shared" si="29"/>
        <v>60</v>
      </c>
      <c r="J122" s="30" t="str">
        <f t="shared" si="30"/>
        <v/>
      </c>
      <c r="K122" s="28" t="str">
        <f t="shared" si="31"/>
        <v>미입력</v>
      </c>
    </row>
    <row r="123" spans="1:11" ht="17.25" customHeight="1">
      <c r="A123" s="14">
        <v>46384</v>
      </c>
      <c r="B123" s="15" t="s">
        <v>60</v>
      </c>
      <c r="C123" s="16"/>
      <c r="D123" s="16"/>
      <c r="E123" s="16"/>
      <c r="F123" s="17">
        <f t="shared" si="26"/>
        <v>45</v>
      </c>
      <c r="G123" s="18" t="str">
        <f t="shared" si="27"/>
        <v/>
      </c>
      <c r="H123" s="15" t="str">
        <f t="shared" si="28"/>
        <v>미입력</v>
      </c>
      <c r="I123" s="17">
        <f t="shared" si="29"/>
        <v>60</v>
      </c>
      <c r="J123" s="18" t="str">
        <f t="shared" si="30"/>
        <v/>
      </c>
      <c r="K123" s="15" t="str">
        <f t="shared" si="31"/>
        <v>미입력</v>
      </c>
    </row>
    <row r="124" spans="1:11" ht="17.25" customHeight="1">
      <c r="A124" s="14">
        <v>46385</v>
      </c>
      <c r="B124" s="15" t="s">
        <v>47</v>
      </c>
      <c r="C124" s="16"/>
      <c r="D124" s="16"/>
      <c r="E124" s="16"/>
      <c r="F124" s="17">
        <f t="shared" si="26"/>
        <v>45</v>
      </c>
      <c r="G124" s="18" t="str">
        <f t="shared" si="27"/>
        <v/>
      </c>
      <c r="H124" s="15" t="str">
        <f t="shared" si="28"/>
        <v>미입력</v>
      </c>
      <c r="I124" s="17">
        <f t="shared" si="29"/>
        <v>60</v>
      </c>
      <c r="J124" s="18" t="str">
        <f t="shared" si="30"/>
        <v/>
      </c>
      <c r="K124" s="15" t="str">
        <f t="shared" si="31"/>
        <v>미입력</v>
      </c>
    </row>
    <row r="125" spans="1:11" ht="17.25" customHeight="1">
      <c r="A125" s="14">
        <v>46386</v>
      </c>
      <c r="B125" s="15" t="s">
        <v>49</v>
      </c>
      <c r="C125" s="16"/>
      <c r="D125" s="16"/>
      <c r="E125" s="16"/>
      <c r="F125" s="17">
        <f t="shared" si="26"/>
        <v>45</v>
      </c>
      <c r="G125" s="18" t="str">
        <f t="shared" si="27"/>
        <v/>
      </c>
      <c r="H125" s="15" t="str">
        <f t="shared" si="28"/>
        <v>미입력</v>
      </c>
      <c r="I125" s="17">
        <f t="shared" si="29"/>
        <v>60</v>
      </c>
      <c r="J125" s="18" t="str">
        <f t="shared" si="30"/>
        <v/>
      </c>
      <c r="K125" s="15" t="str">
        <f t="shared" si="31"/>
        <v>미입력</v>
      </c>
    </row>
    <row r="126" spans="1:11" ht="17.25" customHeight="1">
      <c r="A126" s="14">
        <v>46387</v>
      </c>
      <c r="B126" s="15" t="s">
        <v>51</v>
      </c>
      <c r="C126" s="16"/>
      <c r="D126" s="16"/>
      <c r="E126" s="16"/>
      <c r="F126" s="17">
        <f t="shared" si="26"/>
        <v>45</v>
      </c>
      <c r="G126" s="18" t="str">
        <f t="shared" si="27"/>
        <v/>
      </c>
      <c r="H126" s="15" t="str">
        <f t="shared" si="28"/>
        <v>미입력</v>
      </c>
      <c r="I126" s="17">
        <f t="shared" si="29"/>
        <v>60</v>
      </c>
      <c r="J126" s="18" t="str">
        <f t="shared" si="30"/>
        <v/>
      </c>
      <c r="K126" s="15" t="str">
        <f t="shared" si="31"/>
        <v>미입력</v>
      </c>
    </row>
  </sheetData>
  <mergeCells count="5">
    <mergeCell ref="A1:K1"/>
    <mergeCell ref="M1:X1"/>
    <mergeCell ref="H2:K2"/>
    <mergeCell ref="A3:K3"/>
    <mergeCell ref="M3:X3"/>
  </mergeCells>
  <phoneticPr fontId="19" type="noConversion"/>
  <conditionalFormatting sqref="A5:B126">
    <cfRule type="expression" dxfId="28" priority="14">
      <formula>$A5=TODAY()</formula>
    </cfRule>
  </conditionalFormatting>
  <conditionalFormatting sqref="H5:H126">
    <cfRule type="expression" dxfId="27" priority="2">
      <formula>H5="달성"</formula>
    </cfRule>
    <cfRule type="expression" dxfId="26" priority="3">
      <formula>H5="미달"</formula>
    </cfRule>
    <cfRule type="expression" dxfId="25" priority="4">
      <formula>H5="미입력"</formula>
    </cfRule>
  </conditionalFormatting>
  <conditionalFormatting sqref="K5:K126">
    <cfRule type="expression" dxfId="24" priority="5">
      <formula>K5="달성"</formula>
    </cfRule>
    <cfRule type="expression" dxfId="23" priority="6">
      <formula>K5="미달"</formula>
    </cfRule>
    <cfRule type="expression" dxfId="22" priority="7">
      <formula>K5="미입력"</formula>
    </cfRule>
  </conditionalFormatting>
  <conditionalFormatting sqref="S5:S24">
    <cfRule type="expression" dxfId="21" priority="8">
      <formula>S5="달성"</formula>
    </cfRule>
    <cfRule type="expression" dxfId="20" priority="9">
      <formula>S5="미달"</formula>
    </cfRule>
    <cfRule type="expression" dxfId="19" priority="10">
      <formula>S5="미입력"</formula>
    </cfRule>
  </conditionalFormatting>
  <conditionalFormatting sqref="W5:W24">
    <cfRule type="expression" dxfId="18" priority="11">
      <formula>W5="달성"</formula>
    </cfRule>
    <cfRule type="expression" dxfId="17" priority="12">
      <formula>W5="미달"</formula>
    </cfRule>
    <cfRule type="expression" dxfId="16" priority="13">
      <formula>W5="미입력"</formula>
    </cfRule>
  </conditionalFormatting>
  <dataValidations count="1">
    <dataValidation type="list" allowBlank="1" sqref="E5:E126" xr:uid="{00000000-0002-0000-0500-000000000000}">
      <formula1>"휴무,연차,오전반차,오후반차,입사전,기타"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X12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R28" sqref="R28"/>
    </sheetView>
  </sheetViews>
  <sheetFormatPr defaultColWidth="8.7109375" defaultRowHeight="16.5" customHeight="1"/>
  <cols>
    <col min="1" max="1" width="12" customWidth="1"/>
    <col min="2" max="2" width="6" customWidth="1"/>
    <col min="3" max="6" width="10" customWidth="1"/>
    <col min="7" max="7" width="11" customWidth="1"/>
    <col min="8" max="8" width="13" customWidth="1"/>
    <col min="9" max="9" width="10" customWidth="1"/>
    <col min="10" max="10" width="11" customWidth="1"/>
    <col min="11" max="11" width="13" customWidth="1"/>
    <col min="12" max="12" width="2" customWidth="1"/>
    <col min="13" max="13" width="11" customWidth="1"/>
    <col min="14" max="15" width="9" customWidth="1"/>
    <col min="16" max="16" width="10" customWidth="1"/>
    <col min="17" max="17" width="13" customWidth="1"/>
    <col min="18" max="18" width="11" customWidth="1"/>
    <col min="19" max="19" width="13" customWidth="1"/>
    <col min="20" max="20" width="10" customWidth="1"/>
    <col min="21" max="21" width="13" customWidth="1"/>
    <col min="22" max="22" width="11" customWidth="1"/>
    <col min="23" max="23" width="13" customWidth="1"/>
    <col min="24" max="24" width="60" customWidth="1"/>
  </cols>
  <sheetData>
    <row r="1" spans="1:24" ht="16.5" customHeight="1">
      <c r="A1" s="57" t="s">
        <v>93</v>
      </c>
      <c r="B1" s="57"/>
      <c r="C1" s="57"/>
      <c r="D1" s="57"/>
      <c r="E1" s="57"/>
      <c r="F1" s="57"/>
      <c r="G1" s="57"/>
      <c r="H1" s="57"/>
      <c r="I1" s="57"/>
      <c r="J1" s="57"/>
      <c r="K1" s="57"/>
      <c r="M1" s="58" t="s">
        <v>94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6.5" customHeight="1">
      <c r="A2" s="10" t="s">
        <v>26</v>
      </c>
      <c r="B2" s="11" t="s">
        <v>84</v>
      </c>
      <c r="C2" s="10" t="s">
        <v>28</v>
      </c>
      <c r="D2" s="11">
        <v>45</v>
      </c>
      <c r="E2" s="10" t="s">
        <v>29</v>
      </c>
      <c r="F2" s="11">
        <v>60</v>
      </c>
      <c r="G2" s="12"/>
      <c r="H2" s="59"/>
      <c r="I2" s="59"/>
      <c r="J2" s="59"/>
      <c r="K2" s="59"/>
    </row>
    <row r="3" spans="1:24" ht="16.5" customHeight="1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M3" s="60" t="s">
        <v>31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6.5" customHeight="1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28</v>
      </c>
      <c r="G4" s="10" t="s">
        <v>37</v>
      </c>
      <c r="H4" s="10" t="s">
        <v>38</v>
      </c>
      <c r="I4" s="10" t="s">
        <v>29</v>
      </c>
      <c r="J4" s="10" t="s">
        <v>39</v>
      </c>
      <c r="K4" s="10" t="s">
        <v>40</v>
      </c>
      <c r="M4" s="13" t="s">
        <v>41</v>
      </c>
      <c r="N4" s="13" t="s">
        <v>42</v>
      </c>
      <c r="O4" s="13" t="s">
        <v>43</v>
      </c>
      <c r="P4" s="13" t="s">
        <v>28</v>
      </c>
      <c r="Q4" s="13" t="s">
        <v>44</v>
      </c>
      <c r="R4" s="13" t="s">
        <v>37</v>
      </c>
      <c r="S4" s="13" t="s">
        <v>38</v>
      </c>
      <c r="T4" s="13" t="s">
        <v>29</v>
      </c>
      <c r="U4" s="13" t="s">
        <v>45</v>
      </c>
      <c r="V4" s="13" t="s">
        <v>39</v>
      </c>
      <c r="W4" s="13" t="s">
        <v>40</v>
      </c>
      <c r="X4" s="13" t="s">
        <v>46</v>
      </c>
    </row>
    <row r="5" spans="1:24" ht="16.5" customHeight="1">
      <c r="A5" s="14">
        <v>46266</v>
      </c>
      <c r="B5" s="15" t="s">
        <v>47</v>
      </c>
      <c r="C5" s="16"/>
      <c r="D5" s="16"/>
      <c r="E5" s="22" t="s">
        <v>95</v>
      </c>
      <c r="F5" s="17">
        <f t="shared" ref="F5:F36" si="0">IF(OR($E5="오전반차",$E5="오후반차"),$D$2/2,$D$2)</f>
        <v>45</v>
      </c>
      <c r="G5" s="18" t="str">
        <f t="shared" ref="G5:G36" si="1">IF($C5="","",$C5/$F5)</f>
        <v/>
      </c>
      <c r="H5" s="15" t="str">
        <f t="shared" ref="H5:H36" si="2">IF($C5="",IF($E5="","미입력",$E5),IF($C5&gt;=$F5,"달성","미달"))</f>
        <v>입사전</v>
      </c>
      <c r="I5" s="17">
        <f t="shared" ref="I5:I36" si="3">IF(OR($E5="오전반차",$E5="오후반차"),$F$2/2,$F$2)</f>
        <v>60</v>
      </c>
      <c r="J5" s="18" t="str">
        <f t="shared" ref="J5:J36" si="4">IF($D5="","",$D5/$I5)</f>
        <v/>
      </c>
      <c r="K5" s="15" t="str">
        <f t="shared" ref="K5:K36" si="5">IF($D5="",IF($E5="","미입력",$E5),IF($D5&gt;=$I5,"달성","미달"))</f>
        <v>입사전</v>
      </c>
      <c r="M5" s="1" t="s">
        <v>48</v>
      </c>
      <c r="N5" s="19">
        <v>46266</v>
      </c>
      <c r="O5" s="19">
        <v>46271</v>
      </c>
      <c r="P5" s="17" t="str">
        <f t="shared" ref="P5:P24" si="6">IFERROR(SUMPRODUCT(($A$5:$A$126&gt;=$N5)*($A$5:$A$126&lt;=$O5)*ISNUMBER($C$5:$C$126)*$F$5:$F$126)/SUMPRODUCT(($A$5:$A$126&gt;=$N5)*($A$5:$A$126&lt;=$O5)*ISNUMBER($C$5:$C$126)),"")</f>
        <v/>
      </c>
      <c r="Q5" s="20" t="str">
        <f t="shared" ref="Q5:Q24" si="7">IFERROR(AVERAGEIFS($C$5:$C$126,$A$5:$A$126,"&gt;="&amp;$N5,$A$5:$A$126,"&lt;="&amp;$O5),"")</f>
        <v/>
      </c>
      <c r="R5" s="18" t="str">
        <f t="shared" ref="R5:R24" si="8">IF(OR($Q5="",$P5=""),"",$Q5/$P5)</f>
        <v/>
      </c>
      <c r="S5" s="15" t="str">
        <f t="shared" ref="S5:S24" si="9">IF(OR($Q5="",$P5=""),"미입력",IF($Q5&gt;=$P5,"달성","미달"))</f>
        <v>미입력</v>
      </c>
      <c r="T5" s="17" t="str">
        <f t="shared" ref="T5:T24" si="10">IFERROR(SUMPRODUCT(($A$5:$A$126&gt;=$N5)*($A$5:$A$126&lt;=$O5)*ISNUMBER($D$5:$D$126)*$I$5:$I$126)/SUMPRODUCT(($A$5:$A$126&gt;=$N5)*($A$5:$A$126&lt;=$O5)*ISNUMBER($D$5:$D$126)),"")</f>
        <v/>
      </c>
      <c r="U5" s="20" t="str">
        <f t="shared" ref="U5:U24" si="11">IFERROR(AVERAGEIFS($D$5:$D$126,$A$5:$A$126,"&gt;="&amp;$N5,$A$5:$A$126,"&lt;="&amp;$O5),"")</f>
        <v/>
      </c>
      <c r="V5" s="18" t="str">
        <f t="shared" ref="V5:V24" si="12">IF(OR($U5="",$T5=""),"",$U5/$T5)</f>
        <v/>
      </c>
      <c r="W5" s="15" t="str">
        <f t="shared" ref="W5:W24" si="13">IF(OR($U5="",$T5=""),"미입력",IF($U5&gt;=$T5,"달성","미달"))</f>
        <v>미입력</v>
      </c>
      <c r="X5" s="21"/>
    </row>
    <row r="6" spans="1:24" ht="16.5" customHeight="1">
      <c r="A6" s="14">
        <v>46267</v>
      </c>
      <c r="B6" s="15" t="s">
        <v>49</v>
      </c>
      <c r="C6" s="16"/>
      <c r="D6" s="16"/>
      <c r="E6" s="22" t="s">
        <v>95</v>
      </c>
      <c r="F6" s="17">
        <f t="shared" si="0"/>
        <v>45</v>
      </c>
      <c r="G6" s="18" t="str">
        <f t="shared" si="1"/>
        <v/>
      </c>
      <c r="H6" s="15" t="str">
        <f t="shared" si="2"/>
        <v>입사전</v>
      </c>
      <c r="I6" s="17">
        <f t="shared" si="3"/>
        <v>60</v>
      </c>
      <c r="J6" s="18" t="str">
        <f t="shared" si="4"/>
        <v/>
      </c>
      <c r="K6" s="15" t="str">
        <f t="shared" si="5"/>
        <v>입사전</v>
      </c>
      <c r="M6" s="1" t="s">
        <v>50</v>
      </c>
      <c r="N6" s="19">
        <v>46272</v>
      </c>
      <c r="O6" s="19">
        <v>46278</v>
      </c>
      <c r="P6" s="17" t="str">
        <f t="shared" si="6"/>
        <v/>
      </c>
      <c r="Q6" s="20" t="str">
        <f t="shared" si="7"/>
        <v/>
      </c>
      <c r="R6" s="18" t="str">
        <f t="shared" si="8"/>
        <v/>
      </c>
      <c r="S6" s="15" t="str">
        <f t="shared" si="9"/>
        <v>미입력</v>
      </c>
      <c r="T6" s="17" t="str">
        <f t="shared" si="10"/>
        <v/>
      </c>
      <c r="U6" s="20" t="str">
        <f t="shared" si="11"/>
        <v/>
      </c>
      <c r="V6" s="18" t="str">
        <f t="shared" si="12"/>
        <v/>
      </c>
      <c r="W6" s="15" t="str">
        <f t="shared" si="13"/>
        <v>미입력</v>
      </c>
      <c r="X6" s="21"/>
    </row>
    <row r="7" spans="1:24" ht="16.5" customHeight="1">
      <c r="A7" s="14">
        <v>46268</v>
      </c>
      <c r="B7" s="15" t="s">
        <v>51</v>
      </c>
      <c r="C7" s="16"/>
      <c r="D7" s="16"/>
      <c r="E7" s="22" t="s">
        <v>95</v>
      </c>
      <c r="F7" s="17">
        <f t="shared" si="0"/>
        <v>45</v>
      </c>
      <c r="G7" s="18" t="str">
        <f t="shared" si="1"/>
        <v/>
      </c>
      <c r="H7" s="15" t="str">
        <f t="shared" si="2"/>
        <v>입사전</v>
      </c>
      <c r="I7" s="17">
        <f t="shared" si="3"/>
        <v>60</v>
      </c>
      <c r="J7" s="18" t="str">
        <f t="shared" si="4"/>
        <v/>
      </c>
      <c r="K7" s="15" t="str">
        <f t="shared" si="5"/>
        <v>입사전</v>
      </c>
      <c r="M7" s="1" t="s">
        <v>53</v>
      </c>
      <c r="N7" s="19">
        <v>46279</v>
      </c>
      <c r="O7" s="19">
        <v>46285</v>
      </c>
      <c r="P7" s="17">
        <f t="shared" si="6"/>
        <v>45</v>
      </c>
      <c r="Q7" s="20">
        <f t="shared" si="7"/>
        <v>88.4</v>
      </c>
      <c r="R7" s="18">
        <f t="shared" si="8"/>
        <v>1.9644444444444447</v>
      </c>
      <c r="S7" s="15" t="str">
        <f t="shared" si="9"/>
        <v>달성</v>
      </c>
      <c r="T7" s="17">
        <f t="shared" si="10"/>
        <v>60</v>
      </c>
      <c r="U7" s="20">
        <f t="shared" si="11"/>
        <v>42.2</v>
      </c>
      <c r="V7" s="18">
        <f t="shared" si="12"/>
        <v>0.70333333333333337</v>
      </c>
      <c r="W7" s="15" t="str">
        <f t="shared" si="13"/>
        <v>미달</v>
      </c>
      <c r="X7" s="31" t="s">
        <v>96</v>
      </c>
    </row>
    <row r="8" spans="1:24" ht="16.5" customHeight="1">
      <c r="A8" s="14">
        <v>46269</v>
      </c>
      <c r="B8" s="15" t="s">
        <v>54</v>
      </c>
      <c r="C8" s="16"/>
      <c r="D8" s="16"/>
      <c r="E8" s="22" t="s">
        <v>95</v>
      </c>
      <c r="F8" s="17">
        <f t="shared" si="0"/>
        <v>45</v>
      </c>
      <c r="G8" s="18" t="str">
        <f t="shared" si="1"/>
        <v/>
      </c>
      <c r="H8" s="15" t="str">
        <f t="shared" si="2"/>
        <v>입사전</v>
      </c>
      <c r="I8" s="17">
        <f t="shared" si="3"/>
        <v>60</v>
      </c>
      <c r="J8" s="18" t="str">
        <f t="shared" si="4"/>
        <v/>
      </c>
      <c r="K8" s="15" t="str">
        <f t="shared" si="5"/>
        <v>입사전</v>
      </c>
      <c r="M8" s="1" t="s">
        <v>55</v>
      </c>
      <c r="N8" s="19">
        <v>46286</v>
      </c>
      <c r="O8" s="19">
        <v>46292</v>
      </c>
      <c r="P8" s="17">
        <f t="shared" si="6"/>
        <v>45</v>
      </c>
      <c r="Q8" s="20">
        <f t="shared" si="7"/>
        <v>60.75</v>
      </c>
      <c r="R8" s="18">
        <f t="shared" si="8"/>
        <v>1.35</v>
      </c>
      <c r="S8" s="15" t="str">
        <f t="shared" si="9"/>
        <v>달성</v>
      </c>
      <c r="T8" s="17">
        <f t="shared" si="10"/>
        <v>60</v>
      </c>
      <c r="U8" s="20">
        <f t="shared" si="11"/>
        <v>30.75</v>
      </c>
      <c r="V8" s="18">
        <f t="shared" si="12"/>
        <v>0.51249999999999996</v>
      </c>
      <c r="W8" s="15" t="str">
        <f t="shared" si="13"/>
        <v>미달</v>
      </c>
      <c r="X8" s="21" t="s">
        <v>129</v>
      </c>
    </row>
    <row r="9" spans="1:24" ht="16.5" customHeight="1">
      <c r="A9" s="23">
        <v>46270</v>
      </c>
      <c r="B9" s="24" t="s">
        <v>56</v>
      </c>
      <c r="C9" s="16"/>
      <c r="D9" s="16"/>
      <c r="E9" s="22" t="s">
        <v>95</v>
      </c>
      <c r="F9" s="25">
        <f t="shared" si="0"/>
        <v>45</v>
      </c>
      <c r="G9" s="26" t="str">
        <f t="shared" si="1"/>
        <v/>
      </c>
      <c r="H9" s="24" t="str">
        <f t="shared" si="2"/>
        <v>입사전</v>
      </c>
      <c r="I9" s="25">
        <f t="shared" si="3"/>
        <v>60</v>
      </c>
      <c r="J9" s="26" t="str">
        <f t="shared" si="4"/>
        <v/>
      </c>
      <c r="K9" s="24" t="str">
        <f t="shared" si="5"/>
        <v>입사전</v>
      </c>
      <c r="M9" s="1" t="s">
        <v>57</v>
      </c>
      <c r="N9" s="19">
        <v>46293</v>
      </c>
      <c r="O9" s="19">
        <v>46295</v>
      </c>
      <c r="P9" s="17" t="str">
        <f t="shared" si="6"/>
        <v/>
      </c>
      <c r="Q9" s="20" t="str">
        <f t="shared" si="7"/>
        <v/>
      </c>
      <c r="R9" s="18" t="str">
        <f t="shared" si="8"/>
        <v/>
      </c>
      <c r="S9" s="15" t="str">
        <f t="shared" si="9"/>
        <v>미입력</v>
      </c>
      <c r="T9" s="17" t="str">
        <f t="shared" si="10"/>
        <v/>
      </c>
      <c r="U9" s="20" t="str">
        <f t="shared" si="11"/>
        <v/>
      </c>
      <c r="V9" s="18" t="str">
        <f t="shared" si="12"/>
        <v/>
      </c>
      <c r="W9" s="15" t="str">
        <f t="shared" si="13"/>
        <v>미입력</v>
      </c>
      <c r="X9" s="21"/>
    </row>
    <row r="10" spans="1:24" ht="16.5" customHeight="1">
      <c r="A10" s="27">
        <v>46271</v>
      </c>
      <c r="B10" s="28" t="s">
        <v>58</v>
      </c>
      <c r="C10" s="16"/>
      <c r="D10" s="16"/>
      <c r="E10" s="22" t="s">
        <v>95</v>
      </c>
      <c r="F10" s="29">
        <f t="shared" si="0"/>
        <v>45</v>
      </c>
      <c r="G10" s="30" t="str">
        <f t="shared" si="1"/>
        <v/>
      </c>
      <c r="H10" s="28" t="str">
        <f t="shared" si="2"/>
        <v>입사전</v>
      </c>
      <c r="I10" s="29">
        <f t="shared" si="3"/>
        <v>60</v>
      </c>
      <c r="J10" s="30" t="str">
        <f t="shared" si="4"/>
        <v/>
      </c>
      <c r="K10" s="28" t="str">
        <f t="shared" si="5"/>
        <v>입사전</v>
      </c>
      <c r="M10" s="1" t="s">
        <v>59</v>
      </c>
      <c r="N10" s="19">
        <v>46296</v>
      </c>
      <c r="O10" s="19">
        <v>46301</v>
      </c>
      <c r="P10" s="17" t="str">
        <f t="shared" si="6"/>
        <v/>
      </c>
      <c r="Q10" s="20" t="str">
        <f t="shared" si="7"/>
        <v/>
      </c>
      <c r="R10" s="18" t="str">
        <f t="shared" si="8"/>
        <v/>
      </c>
      <c r="S10" s="15" t="str">
        <f t="shared" si="9"/>
        <v>미입력</v>
      </c>
      <c r="T10" s="17" t="str">
        <f t="shared" si="10"/>
        <v/>
      </c>
      <c r="U10" s="20" t="str">
        <f t="shared" si="11"/>
        <v/>
      </c>
      <c r="V10" s="18" t="str">
        <f t="shared" si="12"/>
        <v/>
      </c>
      <c r="W10" s="15" t="str">
        <f t="shared" si="13"/>
        <v>미입력</v>
      </c>
      <c r="X10" s="21"/>
    </row>
    <row r="11" spans="1:24" ht="16.5" customHeight="1">
      <c r="A11" s="14">
        <v>46272</v>
      </c>
      <c r="B11" s="15" t="s">
        <v>60</v>
      </c>
      <c r="C11" s="16"/>
      <c r="D11" s="16"/>
      <c r="E11" s="22" t="s">
        <v>95</v>
      </c>
      <c r="F11" s="17">
        <f t="shared" si="0"/>
        <v>45</v>
      </c>
      <c r="G11" s="18" t="str">
        <f t="shared" si="1"/>
        <v/>
      </c>
      <c r="H11" s="15" t="str">
        <f t="shared" si="2"/>
        <v>입사전</v>
      </c>
      <c r="I11" s="17">
        <f t="shared" si="3"/>
        <v>60</v>
      </c>
      <c r="J11" s="18" t="str">
        <f t="shared" si="4"/>
        <v/>
      </c>
      <c r="K11" s="15" t="str">
        <f t="shared" si="5"/>
        <v>입사전</v>
      </c>
      <c r="M11" s="1" t="s">
        <v>61</v>
      </c>
      <c r="N11" s="19">
        <v>46302</v>
      </c>
      <c r="O11" s="19">
        <v>46308</v>
      </c>
      <c r="P11" s="17" t="str">
        <f t="shared" si="6"/>
        <v/>
      </c>
      <c r="Q11" s="20" t="str">
        <f t="shared" si="7"/>
        <v/>
      </c>
      <c r="R11" s="18" t="str">
        <f t="shared" si="8"/>
        <v/>
      </c>
      <c r="S11" s="15" t="str">
        <f t="shared" si="9"/>
        <v>미입력</v>
      </c>
      <c r="T11" s="17" t="str">
        <f t="shared" si="10"/>
        <v/>
      </c>
      <c r="U11" s="20" t="str">
        <f t="shared" si="11"/>
        <v/>
      </c>
      <c r="V11" s="18" t="str">
        <f t="shared" si="12"/>
        <v/>
      </c>
      <c r="W11" s="15" t="str">
        <f t="shared" si="13"/>
        <v>미입력</v>
      </c>
      <c r="X11" s="21"/>
    </row>
    <row r="12" spans="1:24" ht="16.5" customHeight="1">
      <c r="A12" s="14">
        <v>46273</v>
      </c>
      <c r="B12" s="15" t="s">
        <v>47</v>
      </c>
      <c r="C12" s="16"/>
      <c r="D12" s="16"/>
      <c r="E12" s="22" t="s">
        <v>95</v>
      </c>
      <c r="F12" s="17">
        <f t="shared" si="0"/>
        <v>45</v>
      </c>
      <c r="G12" s="18" t="str">
        <f t="shared" si="1"/>
        <v/>
      </c>
      <c r="H12" s="15" t="str">
        <f t="shared" si="2"/>
        <v>입사전</v>
      </c>
      <c r="I12" s="17">
        <f t="shared" si="3"/>
        <v>60</v>
      </c>
      <c r="J12" s="18" t="str">
        <f t="shared" si="4"/>
        <v/>
      </c>
      <c r="K12" s="15" t="str">
        <f t="shared" si="5"/>
        <v>입사전</v>
      </c>
      <c r="M12" s="1" t="s">
        <v>62</v>
      </c>
      <c r="N12" s="19">
        <v>46309</v>
      </c>
      <c r="O12" s="19">
        <v>46315</v>
      </c>
      <c r="P12" s="17" t="str">
        <f t="shared" si="6"/>
        <v/>
      </c>
      <c r="Q12" s="20" t="str">
        <f t="shared" si="7"/>
        <v/>
      </c>
      <c r="R12" s="18" t="str">
        <f t="shared" si="8"/>
        <v/>
      </c>
      <c r="S12" s="15" t="str">
        <f t="shared" si="9"/>
        <v>미입력</v>
      </c>
      <c r="T12" s="17" t="str">
        <f t="shared" si="10"/>
        <v/>
      </c>
      <c r="U12" s="20" t="str">
        <f t="shared" si="11"/>
        <v/>
      </c>
      <c r="V12" s="18" t="str">
        <f t="shared" si="12"/>
        <v/>
      </c>
      <c r="W12" s="15" t="str">
        <f t="shared" si="13"/>
        <v>미입력</v>
      </c>
      <c r="X12" s="21"/>
    </row>
    <row r="13" spans="1:24" ht="16.5" customHeight="1">
      <c r="A13" s="14">
        <v>46274</v>
      </c>
      <c r="B13" s="15" t="s">
        <v>49</v>
      </c>
      <c r="C13" s="16"/>
      <c r="D13" s="16"/>
      <c r="E13" s="22" t="s">
        <v>95</v>
      </c>
      <c r="F13" s="17">
        <f t="shared" si="0"/>
        <v>45</v>
      </c>
      <c r="G13" s="18" t="str">
        <f t="shared" si="1"/>
        <v/>
      </c>
      <c r="H13" s="15" t="str">
        <f t="shared" si="2"/>
        <v>입사전</v>
      </c>
      <c r="I13" s="17">
        <f t="shared" si="3"/>
        <v>60</v>
      </c>
      <c r="J13" s="18" t="str">
        <f t="shared" si="4"/>
        <v/>
      </c>
      <c r="K13" s="15" t="str">
        <f t="shared" si="5"/>
        <v>입사전</v>
      </c>
      <c r="M13" s="1" t="s">
        <v>63</v>
      </c>
      <c r="N13" s="19">
        <v>46316</v>
      </c>
      <c r="O13" s="19">
        <v>46322</v>
      </c>
      <c r="P13" s="17" t="str">
        <f t="shared" si="6"/>
        <v/>
      </c>
      <c r="Q13" s="20" t="str">
        <f t="shared" si="7"/>
        <v/>
      </c>
      <c r="R13" s="18" t="str">
        <f t="shared" si="8"/>
        <v/>
      </c>
      <c r="S13" s="15" t="str">
        <f t="shared" si="9"/>
        <v>미입력</v>
      </c>
      <c r="T13" s="17" t="str">
        <f t="shared" si="10"/>
        <v/>
      </c>
      <c r="U13" s="20" t="str">
        <f t="shared" si="11"/>
        <v/>
      </c>
      <c r="V13" s="18" t="str">
        <f t="shared" si="12"/>
        <v/>
      </c>
      <c r="W13" s="15" t="str">
        <f t="shared" si="13"/>
        <v>미입력</v>
      </c>
      <c r="X13" s="21"/>
    </row>
    <row r="14" spans="1:24" ht="16.5" customHeight="1">
      <c r="A14" s="14">
        <v>46275</v>
      </c>
      <c r="B14" s="15" t="s">
        <v>51</v>
      </c>
      <c r="C14" s="16"/>
      <c r="D14" s="16"/>
      <c r="E14" s="22" t="s">
        <v>95</v>
      </c>
      <c r="F14" s="17">
        <f t="shared" si="0"/>
        <v>45</v>
      </c>
      <c r="G14" s="18" t="str">
        <f t="shared" si="1"/>
        <v/>
      </c>
      <c r="H14" s="15" t="str">
        <f t="shared" si="2"/>
        <v>입사전</v>
      </c>
      <c r="I14" s="17">
        <f t="shared" si="3"/>
        <v>60</v>
      </c>
      <c r="J14" s="18" t="str">
        <f t="shared" si="4"/>
        <v/>
      </c>
      <c r="K14" s="15" t="str">
        <f t="shared" si="5"/>
        <v>입사전</v>
      </c>
      <c r="M14" s="1" t="s">
        <v>64</v>
      </c>
      <c r="N14" s="19">
        <v>46323</v>
      </c>
      <c r="O14" s="19">
        <v>46326</v>
      </c>
      <c r="P14" s="17" t="str">
        <f t="shared" si="6"/>
        <v/>
      </c>
      <c r="Q14" s="20" t="str">
        <f t="shared" si="7"/>
        <v/>
      </c>
      <c r="R14" s="18" t="str">
        <f t="shared" si="8"/>
        <v/>
      </c>
      <c r="S14" s="15" t="str">
        <f t="shared" si="9"/>
        <v>미입력</v>
      </c>
      <c r="T14" s="17" t="str">
        <f t="shared" si="10"/>
        <v/>
      </c>
      <c r="U14" s="20" t="str">
        <f t="shared" si="11"/>
        <v/>
      </c>
      <c r="V14" s="18" t="str">
        <f t="shared" si="12"/>
        <v/>
      </c>
      <c r="W14" s="15" t="str">
        <f t="shared" si="13"/>
        <v>미입력</v>
      </c>
      <c r="X14" s="21"/>
    </row>
    <row r="15" spans="1:24" ht="16.5" customHeight="1">
      <c r="A15" s="14">
        <v>46276</v>
      </c>
      <c r="B15" s="15" t="s">
        <v>54</v>
      </c>
      <c r="C15" s="16"/>
      <c r="D15" s="16"/>
      <c r="E15" s="22" t="s">
        <v>95</v>
      </c>
      <c r="F15" s="17">
        <f t="shared" si="0"/>
        <v>45</v>
      </c>
      <c r="G15" s="18" t="str">
        <f t="shared" si="1"/>
        <v/>
      </c>
      <c r="H15" s="15" t="str">
        <f t="shared" si="2"/>
        <v>입사전</v>
      </c>
      <c r="I15" s="17">
        <f t="shared" si="3"/>
        <v>60</v>
      </c>
      <c r="J15" s="18" t="str">
        <f t="shared" si="4"/>
        <v/>
      </c>
      <c r="K15" s="15" t="str">
        <f t="shared" si="5"/>
        <v>입사전</v>
      </c>
      <c r="M15" s="1" t="s">
        <v>65</v>
      </c>
      <c r="N15" s="19">
        <v>46327</v>
      </c>
      <c r="O15" s="19">
        <v>46332</v>
      </c>
      <c r="P15" s="17" t="str">
        <f t="shared" si="6"/>
        <v/>
      </c>
      <c r="Q15" s="20" t="str">
        <f t="shared" si="7"/>
        <v/>
      </c>
      <c r="R15" s="18" t="str">
        <f t="shared" si="8"/>
        <v/>
      </c>
      <c r="S15" s="15" t="str">
        <f t="shared" si="9"/>
        <v>미입력</v>
      </c>
      <c r="T15" s="17" t="str">
        <f t="shared" si="10"/>
        <v/>
      </c>
      <c r="U15" s="20" t="str">
        <f t="shared" si="11"/>
        <v/>
      </c>
      <c r="V15" s="18" t="str">
        <f t="shared" si="12"/>
        <v/>
      </c>
      <c r="W15" s="15" t="str">
        <f t="shared" si="13"/>
        <v>미입력</v>
      </c>
      <c r="X15" s="21"/>
    </row>
    <row r="16" spans="1:24" ht="16.5" customHeight="1">
      <c r="A16" s="23">
        <v>46277</v>
      </c>
      <c r="B16" s="24" t="s">
        <v>56</v>
      </c>
      <c r="C16" s="16"/>
      <c r="D16" s="16"/>
      <c r="E16" s="22" t="s">
        <v>95</v>
      </c>
      <c r="F16" s="25">
        <f t="shared" si="0"/>
        <v>45</v>
      </c>
      <c r="G16" s="26" t="str">
        <f t="shared" si="1"/>
        <v/>
      </c>
      <c r="H16" s="24" t="str">
        <f t="shared" si="2"/>
        <v>입사전</v>
      </c>
      <c r="I16" s="25">
        <f t="shared" si="3"/>
        <v>60</v>
      </c>
      <c r="J16" s="26" t="str">
        <f t="shared" si="4"/>
        <v/>
      </c>
      <c r="K16" s="24" t="str">
        <f t="shared" si="5"/>
        <v>입사전</v>
      </c>
      <c r="M16" s="1" t="s">
        <v>66</v>
      </c>
      <c r="N16" s="19">
        <v>46333</v>
      </c>
      <c r="O16" s="19">
        <v>46339</v>
      </c>
      <c r="P16" s="17" t="str">
        <f t="shared" si="6"/>
        <v/>
      </c>
      <c r="Q16" s="20" t="str">
        <f t="shared" si="7"/>
        <v/>
      </c>
      <c r="R16" s="18" t="str">
        <f t="shared" si="8"/>
        <v/>
      </c>
      <c r="S16" s="15" t="str">
        <f t="shared" si="9"/>
        <v>미입력</v>
      </c>
      <c r="T16" s="17" t="str">
        <f t="shared" si="10"/>
        <v/>
      </c>
      <c r="U16" s="20" t="str">
        <f t="shared" si="11"/>
        <v/>
      </c>
      <c r="V16" s="18" t="str">
        <f t="shared" si="12"/>
        <v/>
      </c>
      <c r="W16" s="15" t="str">
        <f t="shared" si="13"/>
        <v>미입력</v>
      </c>
      <c r="X16" s="21"/>
    </row>
    <row r="17" spans="1:24" ht="16.5" customHeight="1">
      <c r="A17" s="27">
        <v>46278</v>
      </c>
      <c r="B17" s="28" t="s">
        <v>58</v>
      </c>
      <c r="C17" s="16"/>
      <c r="D17" s="16"/>
      <c r="E17" s="22" t="s">
        <v>95</v>
      </c>
      <c r="F17" s="29">
        <f t="shared" si="0"/>
        <v>45</v>
      </c>
      <c r="G17" s="30" t="str">
        <f t="shared" si="1"/>
        <v/>
      </c>
      <c r="H17" s="28" t="str">
        <f t="shared" si="2"/>
        <v>입사전</v>
      </c>
      <c r="I17" s="29">
        <f t="shared" si="3"/>
        <v>60</v>
      </c>
      <c r="J17" s="30" t="str">
        <f t="shared" si="4"/>
        <v/>
      </c>
      <c r="K17" s="28" t="str">
        <f t="shared" si="5"/>
        <v>입사전</v>
      </c>
      <c r="M17" s="1" t="s">
        <v>67</v>
      </c>
      <c r="N17" s="19">
        <v>46340</v>
      </c>
      <c r="O17" s="19">
        <v>46346</v>
      </c>
      <c r="P17" s="17" t="str">
        <f t="shared" si="6"/>
        <v/>
      </c>
      <c r="Q17" s="20" t="str">
        <f t="shared" si="7"/>
        <v/>
      </c>
      <c r="R17" s="18" t="str">
        <f t="shared" si="8"/>
        <v/>
      </c>
      <c r="S17" s="15" t="str">
        <f t="shared" si="9"/>
        <v>미입력</v>
      </c>
      <c r="T17" s="17" t="str">
        <f t="shared" si="10"/>
        <v/>
      </c>
      <c r="U17" s="20" t="str">
        <f t="shared" si="11"/>
        <v/>
      </c>
      <c r="V17" s="18" t="str">
        <f t="shared" si="12"/>
        <v/>
      </c>
      <c r="W17" s="15" t="str">
        <f t="shared" si="13"/>
        <v>미입력</v>
      </c>
      <c r="X17" s="21"/>
    </row>
    <row r="18" spans="1:24" ht="16.5" customHeight="1">
      <c r="A18" s="14">
        <v>46279</v>
      </c>
      <c r="B18" s="15" t="s">
        <v>60</v>
      </c>
      <c r="C18" s="16">
        <v>86</v>
      </c>
      <c r="D18" s="16">
        <v>50</v>
      </c>
      <c r="E18" s="22"/>
      <c r="F18" s="17">
        <f t="shared" si="0"/>
        <v>45</v>
      </c>
      <c r="G18" s="18">
        <f t="shared" si="1"/>
        <v>1.9111111111111112</v>
      </c>
      <c r="H18" s="15" t="str">
        <f t="shared" si="2"/>
        <v>달성</v>
      </c>
      <c r="I18" s="17">
        <f t="shared" si="3"/>
        <v>60</v>
      </c>
      <c r="J18" s="18">
        <f t="shared" si="4"/>
        <v>0.83333333333333337</v>
      </c>
      <c r="K18" s="15" t="str">
        <f t="shared" si="5"/>
        <v>미달</v>
      </c>
      <c r="M18" s="1" t="s">
        <v>68</v>
      </c>
      <c r="N18" s="19">
        <v>46347</v>
      </c>
      <c r="O18" s="19">
        <v>46353</v>
      </c>
      <c r="P18" s="17" t="str">
        <f t="shared" si="6"/>
        <v/>
      </c>
      <c r="Q18" s="20" t="str">
        <f t="shared" si="7"/>
        <v/>
      </c>
      <c r="R18" s="18" t="str">
        <f t="shared" si="8"/>
        <v/>
      </c>
      <c r="S18" s="15" t="str">
        <f t="shared" si="9"/>
        <v>미입력</v>
      </c>
      <c r="T18" s="17" t="str">
        <f t="shared" si="10"/>
        <v/>
      </c>
      <c r="U18" s="20" t="str">
        <f t="shared" si="11"/>
        <v/>
      </c>
      <c r="V18" s="18" t="str">
        <f t="shared" si="12"/>
        <v/>
      </c>
      <c r="W18" s="15" t="str">
        <f t="shared" si="13"/>
        <v>미입력</v>
      </c>
      <c r="X18" s="21"/>
    </row>
    <row r="19" spans="1:24" ht="16.5" customHeight="1">
      <c r="A19" s="14">
        <v>46280</v>
      </c>
      <c r="B19" s="15" t="s">
        <v>47</v>
      </c>
      <c r="C19" s="16">
        <v>75</v>
      </c>
      <c r="D19" s="16">
        <v>30</v>
      </c>
      <c r="E19" s="22"/>
      <c r="F19" s="17">
        <f t="shared" si="0"/>
        <v>45</v>
      </c>
      <c r="G19" s="18">
        <f t="shared" si="1"/>
        <v>1.6666666666666667</v>
      </c>
      <c r="H19" s="15" t="str">
        <f t="shared" si="2"/>
        <v>달성</v>
      </c>
      <c r="I19" s="17">
        <f t="shared" si="3"/>
        <v>60</v>
      </c>
      <c r="J19" s="18">
        <f t="shared" si="4"/>
        <v>0.5</v>
      </c>
      <c r="K19" s="15" t="str">
        <f t="shared" si="5"/>
        <v>미달</v>
      </c>
      <c r="M19" s="1" t="s">
        <v>69</v>
      </c>
      <c r="N19" s="19">
        <v>46354</v>
      </c>
      <c r="O19" s="19">
        <v>46356</v>
      </c>
      <c r="P19" s="17" t="str">
        <f t="shared" si="6"/>
        <v/>
      </c>
      <c r="Q19" s="20" t="str">
        <f t="shared" si="7"/>
        <v/>
      </c>
      <c r="R19" s="18" t="str">
        <f t="shared" si="8"/>
        <v/>
      </c>
      <c r="S19" s="15" t="str">
        <f t="shared" si="9"/>
        <v>미입력</v>
      </c>
      <c r="T19" s="17" t="str">
        <f t="shared" si="10"/>
        <v/>
      </c>
      <c r="U19" s="20" t="str">
        <f t="shared" si="11"/>
        <v/>
      </c>
      <c r="V19" s="18" t="str">
        <f t="shared" si="12"/>
        <v/>
      </c>
      <c r="W19" s="15" t="str">
        <f t="shared" si="13"/>
        <v>미입력</v>
      </c>
      <c r="X19" s="21"/>
    </row>
    <row r="20" spans="1:24" ht="16.5" customHeight="1">
      <c r="A20" s="14">
        <v>46281</v>
      </c>
      <c r="B20" s="15" t="s">
        <v>49</v>
      </c>
      <c r="C20" s="16">
        <v>82</v>
      </c>
      <c r="D20" s="16">
        <v>41</v>
      </c>
      <c r="E20" s="22"/>
      <c r="F20" s="17">
        <f t="shared" si="0"/>
        <v>45</v>
      </c>
      <c r="G20" s="18">
        <f t="shared" si="1"/>
        <v>1.8222222222222222</v>
      </c>
      <c r="H20" s="15" t="str">
        <f t="shared" si="2"/>
        <v>달성</v>
      </c>
      <c r="I20" s="17">
        <f t="shared" si="3"/>
        <v>60</v>
      </c>
      <c r="J20" s="18">
        <f t="shared" si="4"/>
        <v>0.68333333333333335</v>
      </c>
      <c r="K20" s="15" t="str">
        <f t="shared" si="5"/>
        <v>미달</v>
      </c>
      <c r="M20" s="1" t="s">
        <v>70</v>
      </c>
      <c r="N20" s="19">
        <v>46357</v>
      </c>
      <c r="O20" s="19">
        <v>46362</v>
      </c>
      <c r="P20" s="17" t="str">
        <f t="shared" si="6"/>
        <v/>
      </c>
      <c r="Q20" s="20" t="str">
        <f t="shared" si="7"/>
        <v/>
      </c>
      <c r="R20" s="18" t="str">
        <f t="shared" si="8"/>
        <v/>
      </c>
      <c r="S20" s="15" t="str">
        <f t="shared" si="9"/>
        <v>미입력</v>
      </c>
      <c r="T20" s="17" t="str">
        <f t="shared" si="10"/>
        <v/>
      </c>
      <c r="U20" s="20" t="str">
        <f t="shared" si="11"/>
        <v/>
      </c>
      <c r="V20" s="18" t="str">
        <f t="shared" si="12"/>
        <v/>
      </c>
      <c r="W20" s="15" t="str">
        <f t="shared" si="13"/>
        <v>미입력</v>
      </c>
      <c r="X20" s="21"/>
    </row>
    <row r="21" spans="1:24" ht="16.5" customHeight="1">
      <c r="A21" s="14">
        <v>46282</v>
      </c>
      <c r="B21" s="15" t="s">
        <v>51</v>
      </c>
      <c r="C21" s="16">
        <v>88</v>
      </c>
      <c r="D21" s="16">
        <v>38</v>
      </c>
      <c r="E21" s="22"/>
      <c r="F21" s="17">
        <f t="shared" si="0"/>
        <v>45</v>
      </c>
      <c r="G21" s="18">
        <f t="shared" si="1"/>
        <v>1.9555555555555555</v>
      </c>
      <c r="H21" s="15" t="str">
        <f t="shared" si="2"/>
        <v>달성</v>
      </c>
      <c r="I21" s="17">
        <f t="shared" si="3"/>
        <v>60</v>
      </c>
      <c r="J21" s="18">
        <f t="shared" si="4"/>
        <v>0.6333333333333333</v>
      </c>
      <c r="K21" s="15" t="str">
        <f t="shared" si="5"/>
        <v>미달</v>
      </c>
      <c r="M21" s="1" t="s">
        <v>71</v>
      </c>
      <c r="N21" s="19">
        <v>46363</v>
      </c>
      <c r="O21" s="19">
        <v>46369</v>
      </c>
      <c r="P21" s="17" t="str">
        <f t="shared" si="6"/>
        <v/>
      </c>
      <c r="Q21" s="20" t="str">
        <f t="shared" si="7"/>
        <v/>
      </c>
      <c r="R21" s="18" t="str">
        <f t="shared" si="8"/>
        <v/>
      </c>
      <c r="S21" s="15" t="str">
        <f t="shared" si="9"/>
        <v>미입력</v>
      </c>
      <c r="T21" s="17" t="str">
        <f t="shared" si="10"/>
        <v/>
      </c>
      <c r="U21" s="20" t="str">
        <f t="shared" si="11"/>
        <v/>
      </c>
      <c r="V21" s="18" t="str">
        <f t="shared" si="12"/>
        <v/>
      </c>
      <c r="W21" s="15" t="str">
        <f t="shared" si="13"/>
        <v>미입력</v>
      </c>
      <c r="X21" s="21"/>
    </row>
    <row r="22" spans="1:24" ht="16.5" customHeight="1">
      <c r="A22" s="14">
        <v>46283</v>
      </c>
      <c r="B22" s="15" t="s">
        <v>54</v>
      </c>
      <c r="C22" s="16">
        <v>111</v>
      </c>
      <c r="D22" s="16">
        <v>52</v>
      </c>
      <c r="E22" s="22"/>
      <c r="F22" s="17">
        <f t="shared" si="0"/>
        <v>45</v>
      </c>
      <c r="G22" s="18">
        <f t="shared" si="1"/>
        <v>2.4666666666666668</v>
      </c>
      <c r="H22" s="15" t="str">
        <f t="shared" si="2"/>
        <v>달성</v>
      </c>
      <c r="I22" s="17">
        <f t="shared" si="3"/>
        <v>60</v>
      </c>
      <c r="J22" s="18">
        <f t="shared" si="4"/>
        <v>0.8666666666666667</v>
      </c>
      <c r="K22" s="15" t="str">
        <f t="shared" si="5"/>
        <v>미달</v>
      </c>
      <c r="M22" s="1" t="s">
        <v>72</v>
      </c>
      <c r="N22" s="19">
        <v>46370</v>
      </c>
      <c r="O22" s="19">
        <v>46376</v>
      </c>
      <c r="P22" s="17" t="str">
        <f t="shared" si="6"/>
        <v/>
      </c>
      <c r="Q22" s="20" t="str">
        <f t="shared" si="7"/>
        <v/>
      </c>
      <c r="R22" s="18" t="str">
        <f t="shared" si="8"/>
        <v/>
      </c>
      <c r="S22" s="15" t="str">
        <f t="shared" si="9"/>
        <v>미입력</v>
      </c>
      <c r="T22" s="17" t="str">
        <f t="shared" si="10"/>
        <v/>
      </c>
      <c r="U22" s="20" t="str">
        <f t="shared" si="11"/>
        <v/>
      </c>
      <c r="V22" s="18" t="str">
        <f t="shared" si="12"/>
        <v/>
      </c>
      <c r="W22" s="15" t="str">
        <f t="shared" si="13"/>
        <v>미입력</v>
      </c>
      <c r="X22" s="21"/>
    </row>
    <row r="23" spans="1:24" ht="16.5" customHeight="1">
      <c r="A23" s="23">
        <v>46284</v>
      </c>
      <c r="B23" s="24" t="s">
        <v>56</v>
      </c>
      <c r="C23" s="16"/>
      <c r="D23" s="16"/>
      <c r="E23" s="22" t="s">
        <v>52</v>
      </c>
      <c r="F23" s="25">
        <f t="shared" si="0"/>
        <v>45</v>
      </c>
      <c r="G23" s="26" t="str">
        <f t="shared" si="1"/>
        <v/>
      </c>
      <c r="H23" s="24" t="str">
        <f t="shared" si="2"/>
        <v>휴무</v>
      </c>
      <c r="I23" s="25">
        <f t="shared" si="3"/>
        <v>60</v>
      </c>
      <c r="J23" s="26" t="str">
        <f t="shared" si="4"/>
        <v/>
      </c>
      <c r="K23" s="24" t="str">
        <f t="shared" si="5"/>
        <v>휴무</v>
      </c>
      <c r="M23" s="1" t="s">
        <v>73</v>
      </c>
      <c r="N23" s="19">
        <v>46377</v>
      </c>
      <c r="O23" s="19">
        <v>46383</v>
      </c>
      <c r="P23" s="17" t="str">
        <f t="shared" si="6"/>
        <v/>
      </c>
      <c r="Q23" s="20" t="str">
        <f t="shared" si="7"/>
        <v/>
      </c>
      <c r="R23" s="18" t="str">
        <f t="shared" si="8"/>
        <v/>
      </c>
      <c r="S23" s="15" t="str">
        <f t="shared" si="9"/>
        <v>미입력</v>
      </c>
      <c r="T23" s="17" t="str">
        <f t="shared" si="10"/>
        <v/>
      </c>
      <c r="U23" s="20" t="str">
        <f t="shared" si="11"/>
        <v/>
      </c>
      <c r="V23" s="18" t="str">
        <f t="shared" si="12"/>
        <v/>
      </c>
      <c r="W23" s="15" t="str">
        <f t="shared" si="13"/>
        <v>미입력</v>
      </c>
      <c r="X23" s="21"/>
    </row>
    <row r="24" spans="1:24" ht="16.5" customHeight="1">
      <c r="A24" s="27">
        <v>46285</v>
      </c>
      <c r="B24" s="28" t="s">
        <v>58</v>
      </c>
      <c r="C24" s="16"/>
      <c r="D24" s="16"/>
      <c r="E24" s="22" t="s">
        <v>52</v>
      </c>
      <c r="F24" s="29">
        <f t="shared" si="0"/>
        <v>45</v>
      </c>
      <c r="G24" s="30" t="str">
        <f t="shared" si="1"/>
        <v/>
      </c>
      <c r="H24" s="28" t="str">
        <f t="shared" si="2"/>
        <v>휴무</v>
      </c>
      <c r="I24" s="29">
        <f t="shared" si="3"/>
        <v>60</v>
      </c>
      <c r="J24" s="30" t="str">
        <f t="shared" si="4"/>
        <v/>
      </c>
      <c r="K24" s="28" t="str">
        <f t="shared" si="5"/>
        <v>휴무</v>
      </c>
      <c r="M24" s="1" t="s">
        <v>74</v>
      </c>
      <c r="N24" s="19">
        <v>46384</v>
      </c>
      <c r="O24" s="19">
        <v>46387</v>
      </c>
      <c r="P24" s="17" t="str">
        <f t="shared" si="6"/>
        <v/>
      </c>
      <c r="Q24" s="20" t="str">
        <f t="shared" si="7"/>
        <v/>
      </c>
      <c r="R24" s="18" t="str">
        <f t="shared" si="8"/>
        <v/>
      </c>
      <c r="S24" s="15" t="str">
        <f t="shared" si="9"/>
        <v>미입력</v>
      </c>
      <c r="T24" s="17" t="str">
        <f t="shared" si="10"/>
        <v/>
      </c>
      <c r="U24" s="20" t="str">
        <f t="shared" si="11"/>
        <v/>
      </c>
      <c r="V24" s="18" t="str">
        <f t="shared" si="12"/>
        <v/>
      </c>
      <c r="W24" s="15" t="str">
        <f t="shared" si="13"/>
        <v>미입력</v>
      </c>
      <c r="X24" s="21"/>
    </row>
    <row r="25" spans="1:24" ht="16.5" customHeight="1">
      <c r="A25" s="14">
        <v>46286</v>
      </c>
      <c r="B25" s="15" t="s">
        <v>60</v>
      </c>
      <c r="C25" s="16">
        <v>75</v>
      </c>
      <c r="D25" s="16">
        <v>39</v>
      </c>
      <c r="E25" s="22"/>
      <c r="F25" s="17">
        <f t="shared" si="0"/>
        <v>45</v>
      </c>
      <c r="G25" s="18">
        <f t="shared" si="1"/>
        <v>1.6666666666666667</v>
      </c>
      <c r="H25" s="15" t="str">
        <f t="shared" si="2"/>
        <v>달성</v>
      </c>
      <c r="I25" s="17">
        <f t="shared" si="3"/>
        <v>60</v>
      </c>
      <c r="J25" s="18">
        <f t="shared" si="4"/>
        <v>0.65</v>
      </c>
      <c r="K25" s="15" t="str">
        <f t="shared" si="5"/>
        <v>미달</v>
      </c>
    </row>
    <row r="26" spans="1:24" ht="16.5" customHeight="1">
      <c r="A26" s="14">
        <v>46287</v>
      </c>
      <c r="B26" s="15" t="s">
        <v>47</v>
      </c>
      <c r="C26" s="16">
        <v>68</v>
      </c>
      <c r="D26" s="16">
        <v>38</v>
      </c>
      <c r="E26" s="22"/>
      <c r="F26" s="17">
        <f t="shared" si="0"/>
        <v>45</v>
      </c>
      <c r="G26" s="18">
        <f t="shared" si="1"/>
        <v>1.5111111111111111</v>
      </c>
      <c r="H26" s="15" t="str">
        <f t="shared" si="2"/>
        <v>달성</v>
      </c>
      <c r="I26" s="17">
        <f t="shared" si="3"/>
        <v>60</v>
      </c>
      <c r="J26" s="18">
        <f t="shared" si="4"/>
        <v>0.6333333333333333</v>
      </c>
      <c r="K26" s="15" t="str">
        <f t="shared" si="5"/>
        <v>미달</v>
      </c>
    </row>
    <row r="27" spans="1:24" ht="16.5" customHeight="1">
      <c r="A27" s="14">
        <v>46288</v>
      </c>
      <c r="B27" s="15" t="s">
        <v>49</v>
      </c>
      <c r="C27" s="16">
        <v>57</v>
      </c>
      <c r="D27" s="16">
        <v>23</v>
      </c>
      <c r="E27" s="22"/>
      <c r="F27" s="17">
        <f t="shared" si="0"/>
        <v>45</v>
      </c>
      <c r="G27" s="18">
        <f t="shared" si="1"/>
        <v>1.2666666666666666</v>
      </c>
      <c r="H27" s="15" t="str">
        <f t="shared" si="2"/>
        <v>달성</v>
      </c>
      <c r="I27" s="17">
        <f t="shared" si="3"/>
        <v>60</v>
      </c>
      <c r="J27" s="18">
        <f t="shared" si="4"/>
        <v>0.38333333333333336</v>
      </c>
      <c r="K27" s="15" t="str">
        <f t="shared" si="5"/>
        <v>미달</v>
      </c>
    </row>
    <row r="28" spans="1:24" ht="16.5" customHeight="1">
      <c r="A28" s="14">
        <v>46289</v>
      </c>
      <c r="B28" s="15" t="s">
        <v>51</v>
      </c>
      <c r="C28" s="16">
        <v>43</v>
      </c>
      <c r="D28" s="16">
        <v>23</v>
      </c>
      <c r="E28" s="22"/>
      <c r="F28" s="17">
        <f t="shared" si="0"/>
        <v>45</v>
      </c>
      <c r="G28" s="18">
        <f t="shared" si="1"/>
        <v>0.9555555555555556</v>
      </c>
      <c r="H28" s="15" t="str">
        <f t="shared" si="2"/>
        <v>미달</v>
      </c>
      <c r="I28" s="17">
        <f t="shared" si="3"/>
        <v>60</v>
      </c>
      <c r="J28" s="18">
        <f t="shared" si="4"/>
        <v>0.38333333333333336</v>
      </c>
      <c r="K28" s="15" t="str">
        <f t="shared" si="5"/>
        <v>미달</v>
      </c>
    </row>
    <row r="29" spans="1:24" ht="16.5" customHeight="1">
      <c r="A29" s="14">
        <v>46290</v>
      </c>
      <c r="B29" s="15" t="s">
        <v>54</v>
      </c>
      <c r="C29" s="16"/>
      <c r="D29" s="16"/>
      <c r="E29" s="22" t="s">
        <v>52</v>
      </c>
      <c r="F29" s="17">
        <f t="shared" si="0"/>
        <v>45</v>
      </c>
      <c r="G29" s="18" t="str">
        <f t="shared" si="1"/>
        <v/>
      </c>
      <c r="H29" s="15" t="str">
        <f t="shared" si="2"/>
        <v>휴무</v>
      </c>
      <c r="I29" s="17">
        <f t="shared" si="3"/>
        <v>60</v>
      </c>
      <c r="J29" s="18" t="str">
        <f t="shared" si="4"/>
        <v/>
      </c>
      <c r="K29" s="15" t="str">
        <f t="shared" si="5"/>
        <v>휴무</v>
      </c>
    </row>
    <row r="30" spans="1:24" ht="16.5" customHeight="1">
      <c r="A30" s="23">
        <v>46291</v>
      </c>
      <c r="B30" s="24" t="s">
        <v>56</v>
      </c>
      <c r="C30" s="16"/>
      <c r="D30" s="16"/>
      <c r="E30" s="22" t="s">
        <v>52</v>
      </c>
      <c r="F30" s="25">
        <f t="shared" si="0"/>
        <v>45</v>
      </c>
      <c r="G30" s="26" t="str">
        <f t="shared" si="1"/>
        <v/>
      </c>
      <c r="H30" s="24" t="str">
        <f t="shared" si="2"/>
        <v>휴무</v>
      </c>
      <c r="I30" s="25">
        <f t="shared" si="3"/>
        <v>60</v>
      </c>
      <c r="J30" s="26" t="str">
        <f t="shared" si="4"/>
        <v/>
      </c>
      <c r="K30" s="24" t="str">
        <f t="shared" si="5"/>
        <v>휴무</v>
      </c>
    </row>
    <row r="31" spans="1:24" ht="16.5" customHeight="1">
      <c r="A31" s="27">
        <v>46292</v>
      </c>
      <c r="B31" s="28" t="s">
        <v>58</v>
      </c>
      <c r="C31" s="16"/>
      <c r="D31" s="16"/>
      <c r="E31" s="22" t="s">
        <v>52</v>
      </c>
      <c r="F31" s="29">
        <f t="shared" si="0"/>
        <v>45</v>
      </c>
      <c r="G31" s="30" t="str">
        <f t="shared" si="1"/>
        <v/>
      </c>
      <c r="H31" s="28" t="str">
        <f t="shared" si="2"/>
        <v>휴무</v>
      </c>
      <c r="I31" s="29">
        <f t="shared" si="3"/>
        <v>60</v>
      </c>
      <c r="J31" s="30" t="str">
        <f t="shared" si="4"/>
        <v/>
      </c>
      <c r="K31" s="28" t="str">
        <f t="shared" si="5"/>
        <v>휴무</v>
      </c>
    </row>
    <row r="32" spans="1:24" ht="16.5" customHeight="1">
      <c r="A32" s="14">
        <v>46293</v>
      </c>
      <c r="B32" s="15" t="s">
        <v>60</v>
      </c>
      <c r="C32" s="16"/>
      <c r="D32" s="16"/>
      <c r="E32" s="22"/>
      <c r="F32" s="17">
        <f t="shared" si="0"/>
        <v>45</v>
      </c>
      <c r="G32" s="18" t="str">
        <f t="shared" si="1"/>
        <v/>
      </c>
      <c r="H32" s="15" t="str">
        <f t="shared" si="2"/>
        <v>미입력</v>
      </c>
      <c r="I32" s="17">
        <f t="shared" si="3"/>
        <v>60</v>
      </c>
      <c r="J32" s="18" t="str">
        <f t="shared" si="4"/>
        <v/>
      </c>
      <c r="K32" s="15" t="str">
        <f t="shared" si="5"/>
        <v>미입력</v>
      </c>
    </row>
    <row r="33" spans="1:11" ht="16.5" customHeight="1">
      <c r="A33" s="14">
        <v>46294</v>
      </c>
      <c r="B33" s="15" t="s">
        <v>47</v>
      </c>
      <c r="C33" s="16"/>
      <c r="D33" s="16"/>
      <c r="E33" s="22"/>
      <c r="F33" s="17">
        <f t="shared" si="0"/>
        <v>45</v>
      </c>
      <c r="G33" s="18" t="str">
        <f t="shared" si="1"/>
        <v/>
      </c>
      <c r="H33" s="15" t="str">
        <f t="shared" si="2"/>
        <v>미입력</v>
      </c>
      <c r="I33" s="17">
        <f t="shared" si="3"/>
        <v>60</v>
      </c>
      <c r="J33" s="18" t="str">
        <f t="shared" si="4"/>
        <v/>
      </c>
      <c r="K33" s="15" t="str">
        <f t="shared" si="5"/>
        <v>미입력</v>
      </c>
    </row>
    <row r="34" spans="1:11" ht="16.5" customHeight="1">
      <c r="A34" s="14">
        <v>46295</v>
      </c>
      <c r="B34" s="15" t="s">
        <v>49</v>
      </c>
      <c r="C34" s="16"/>
      <c r="D34" s="16"/>
      <c r="E34" s="22"/>
      <c r="F34" s="17">
        <f t="shared" si="0"/>
        <v>45</v>
      </c>
      <c r="G34" s="18" t="str">
        <f t="shared" si="1"/>
        <v/>
      </c>
      <c r="H34" s="15" t="str">
        <f t="shared" si="2"/>
        <v>미입력</v>
      </c>
      <c r="I34" s="17">
        <f t="shared" si="3"/>
        <v>60</v>
      </c>
      <c r="J34" s="18" t="str">
        <f t="shared" si="4"/>
        <v/>
      </c>
      <c r="K34" s="15" t="str">
        <f t="shared" si="5"/>
        <v>미입력</v>
      </c>
    </row>
    <row r="35" spans="1:11" ht="16.5" customHeight="1">
      <c r="A35" s="14">
        <v>46296</v>
      </c>
      <c r="B35" s="15" t="s">
        <v>51</v>
      </c>
      <c r="C35" s="16"/>
      <c r="D35" s="16"/>
      <c r="E35" s="22"/>
      <c r="F35" s="17">
        <f t="shared" si="0"/>
        <v>45</v>
      </c>
      <c r="G35" s="18" t="str">
        <f t="shared" si="1"/>
        <v/>
      </c>
      <c r="H35" s="15" t="str">
        <f t="shared" si="2"/>
        <v>미입력</v>
      </c>
      <c r="I35" s="17">
        <f t="shared" si="3"/>
        <v>60</v>
      </c>
      <c r="J35" s="18" t="str">
        <f t="shared" si="4"/>
        <v/>
      </c>
      <c r="K35" s="15" t="str">
        <f t="shared" si="5"/>
        <v>미입력</v>
      </c>
    </row>
    <row r="36" spans="1:11" ht="16.5" customHeight="1">
      <c r="A36" s="14">
        <v>46297</v>
      </c>
      <c r="B36" s="15" t="s">
        <v>54</v>
      </c>
      <c r="C36" s="16"/>
      <c r="D36" s="16"/>
      <c r="E36" s="22"/>
      <c r="F36" s="17">
        <f t="shared" si="0"/>
        <v>45</v>
      </c>
      <c r="G36" s="18" t="str">
        <f t="shared" si="1"/>
        <v/>
      </c>
      <c r="H36" s="15" t="str">
        <f t="shared" si="2"/>
        <v>미입력</v>
      </c>
      <c r="I36" s="17">
        <f t="shared" si="3"/>
        <v>60</v>
      </c>
      <c r="J36" s="18" t="str">
        <f t="shared" si="4"/>
        <v/>
      </c>
      <c r="K36" s="15" t="str">
        <f t="shared" si="5"/>
        <v>미입력</v>
      </c>
    </row>
    <row r="37" spans="1:11" ht="16.5" customHeight="1">
      <c r="A37" s="23">
        <v>46298</v>
      </c>
      <c r="B37" s="24" t="s">
        <v>56</v>
      </c>
      <c r="C37" s="16"/>
      <c r="D37" s="16"/>
      <c r="E37" s="22"/>
      <c r="F37" s="25">
        <f t="shared" ref="F37:F68" si="14">IF(OR($E37="오전반차",$E37="오후반차"),$D$2/2,$D$2)</f>
        <v>45</v>
      </c>
      <c r="G37" s="26" t="str">
        <f t="shared" ref="G37:G68" si="15">IF($C37="","",$C37/$F37)</f>
        <v/>
      </c>
      <c r="H37" s="24" t="str">
        <f t="shared" ref="H37:H68" si="16">IF($C37="",IF($E37="","미입력",$E37),IF($C37&gt;=$F37,"달성","미달"))</f>
        <v>미입력</v>
      </c>
      <c r="I37" s="25">
        <f t="shared" ref="I37:I68" si="17">IF(OR($E37="오전반차",$E37="오후반차"),$F$2/2,$F$2)</f>
        <v>60</v>
      </c>
      <c r="J37" s="26" t="str">
        <f t="shared" ref="J37:J68" si="18">IF($D37="","",$D37/$I37)</f>
        <v/>
      </c>
      <c r="K37" s="24" t="str">
        <f t="shared" ref="K37:K68" si="19">IF($D37="",IF($E37="","미입력",$E37),IF($D37&gt;=$I37,"달성","미달"))</f>
        <v>미입력</v>
      </c>
    </row>
    <row r="38" spans="1:11" ht="16.5" customHeight="1">
      <c r="A38" s="27">
        <v>46299</v>
      </c>
      <c r="B38" s="28" t="s">
        <v>58</v>
      </c>
      <c r="C38" s="16"/>
      <c r="D38" s="16"/>
      <c r="E38" s="22"/>
      <c r="F38" s="29">
        <f t="shared" si="14"/>
        <v>45</v>
      </c>
      <c r="G38" s="30" t="str">
        <f t="shared" si="15"/>
        <v/>
      </c>
      <c r="H38" s="28" t="str">
        <f t="shared" si="16"/>
        <v>미입력</v>
      </c>
      <c r="I38" s="29">
        <f t="shared" si="17"/>
        <v>60</v>
      </c>
      <c r="J38" s="30" t="str">
        <f t="shared" si="18"/>
        <v/>
      </c>
      <c r="K38" s="28" t="str">
        <f t="shared" si="19"/>
        <v>미입력</v>
      </c>
    </row>
    <row r="39" spans="1:11" ht="16.5" customHeight="1">
      <c r="A39" s="14">
        <v>46300</v>
      </c>
      <c r="B39" s="15" t="s">
        <v>60</v>
      </c>
      <c r="C39" s="16"/>
      <c r="D39" s="16"/>
      <c r="E39" s="22"/>
      <c r="F39" s="17">
        <f t="shared" si="14"/>
        <v>45</v>
      </c>
      <c r="G39" s="18" t="str">
        <f t="shared" si="15"/>
        <v/>
      </c>
      <c r="H39" s="15" t="str">
        <f t="shared" si="16"/>
        <v>미입력</v>
      </c>
      <c r="I39" s="17">
        <f t="shared" si="17"/>
        <v>60</v>
      </c>
      <c r="J39" s="18" t="str">
        <f t="shared" si="18"/>
        <v/>
      </c>
      <c r="K39" s="15" t="str">
        <f t="shared" si="19"/>
        <v>미입력</v>
      </c>
    </row>
    <row r="40" spans="1:11" ht="16.5" customHeight="1">
      <c r="A40" s="14">
        <v>46301</v>
      </c>
      <c r="B40" s="15" t="s">
        <v>47</v>
      </c>
      <c r="C40" s="16"/>
      <c r="D40" s="16"/>
      <c r="E40" s="22"/>
      <c r="F40" s="17">
        <f t="shared" si="14"/>
        <v>45</v>
      </c>
      <c r="G40" s="18" t="str">
        <f t="shared" si="15"/>
        <v/>
      </c>
      <c r="H40" s="15" t="str">
        <f t="shared" si="16"/>
        <v>미입력</v>
      </c>
      <c r="I40" s="17">
        <f t="shared" si="17"/>
        <v>60</v>
      </c>
      <c r="J40" s="18" t="str">
        <f t="shared" si="18"/>
        <v/>
      </c>
      <c r="K40" s="15" t="str">
        <f t="shared" si="19"/>
        <v>미입력</v>
      </c>
    </row>
    <row r="41" spans="1:11" ht="16.5" customHeight="1">
      <c r="A41" s="14">
        <v>46302</v>
      </c>
      <c r="B41" s="15" t="s">
        <v>49</v>
      </c>
      <c r="C41" s="16"/>
      <c r="D41" s="16"/>
      <c r="E41" s="22"/>
      <c r="F41" s="17">
        <f t="shared" si="14"/>
        <v>45</v>
      </c>
      <c r="G41" s="18" t="str">
        <f t="shared" si="15"/>
        <v/>
      </c>
      <c r="H41" s="15" t="str">
        <f t="shared" si="16"/>
        <v>미입력</v>
      </c>
      <c r="I41" s="17">
        <f t="shared" si="17"/>
        <v>60</v>
      </c>
      <c r="J41" s="18" t="str">
        <f t="shared" si="18"/>
        <v/>
      </c>
      <c r="K41" s="15" t="str">
        <f t="shared" si="19"/>
        <v>미입력</v>
      </c>
    </row>
    <row r="42" spans="1:11" ht="16.5" customHeight="1">
      <c r="A42" s="14">
        <v>46303</v>
      </c>
      <c r="B42" s="15" t="s">
        <v>51</v>
      </c>
      <c r="C42" s="16"/>
      <c r="D42" s="16"/>
      <c r="E42" s="22"/>
      <c r="F42" s="17">
        <f t="shared" si="14"/>
        <v>45</v>
      </c>
      <c r="G42" s="18" t="str">
        <f t="shared" si="15"/>
        <v/>
      </c>
      <c r="H42" s="15" t="str">
        <f t="shared" si="16"/>
        <v>미입력</v>
      </c>
      <c r="I42" s="17">
        <f t="shared" si="17"/>
        <v>60</v>
      </c>
      <c r="J42" s="18" t="str">
        <f t="shared" si="18"/>
        <v/>
      </c>
      <c r="K42" s="15" t="str">
        <f t="shared" si="19"/>
        <v>미입력</v>
      </c>
    </row>
    <row r="43" spans="1:11" ht="16.5" customHeight="1">
      <c r="A43" s="14">
        <v>46304</v>
      </c>
      <c r="B43" s="15" t="s">
        <v>54</v>
      </c>
      <c r="C43" s="16"/>
      <c r="D43" s="16"/>
      <c r="E43" s="22"/>
      <c r="F43" s="17">
        <f t="shared" si="14"/>
        <v>45</v>
      </c>
      <c r="G43" s="18" t="str">
        <f t="shared" si="15"/>
        <v/>
      </c>
      <c r="H43" s="15" t="str">
        <f t="shared" si="16"/>
        <v>미입력</v>
      </c>
      <c r="I43" s="17">
        <f t="shared" si="17"/>
        <v>60</v>
      </c>
      <c r="J43" s="18" t="str">
        <f t="shared" si="18"/>
        <v/>
      </c>
      <c r="K43" s="15" t="str">
        <f t="shared" si="19"/>
        <v>미입력</v>
      </c>
    </row>
    <row r="44" spans="1:11" ht="16.5" customHeight="1">
      <c r="A44" s="23">
        <v>46305</v>
      </c>
      <c r="B44" s="24" t="s">
        <v>56</v>
      </c>
      <c r="C44" s="16"/>
      <c r="D44" s="16"/>
      <c r="E44" s="22"/>
      <c r="F44" s="25">
        <f t="shared" si="14"/>
        <v>45</v>
      </c>
      <c r="G44" s="26" t="str">
        <f t="shared" si="15"/>
        <v/>
      </c>
      <c r="H44" s="24" t="str">
        <f t="shared" si="16"/>
        <v>미입력</v>
      </c>
      <c r="I44" s="25">
        <f t="shared" si="17"/>
        <v>60</v>
      </c>
      <c r="J44" s="26" t="str">
        <f t="shared" si="18"/>
        <v/>
      </c>
      <c r="K44" s="24" t="str">
        <f t="shared" si="19"/>
        <v>미입력</v>
      </c>
    </row>
    <row r="45" spans="1:11" ht="16.5" customHeight="1">
      <c r="A45" s="27">
        <v>46306</v>
      </c>
      <c r="B45" s="28" t="s">
        <v>58</v>
      </c>
      <c r="C45" s="16"/>
      <c r="D45" s="16"/>
      <c r="E45" s="22"/>
      <c r="F45" s="29">
        <f t="shared" si="14"/>
        <v>45</v>
      </c>
      <c r="G45" s="30" t="str">
        <f t="shared" si="15"/>
        <v/>
      </c>
      <c r="H45" s="28" t="str">
        <f t="shared" si="16"/>
        <v>미입력</v>
      </c>
      <c r="I45" s="29">
        <f t="shared" si="17"/>
        <v>60</v>
      </c>
      <c r="J45" s="30" t="str">
        <f t="shared" si="18"/>
        <v/>
      </c>
      <c r="K45" s="28" t="str">
        <f t="shared" si="19"/>
        <v>미입력</v>
      </c>
    </row>
    <row r="46" spans="1:11" ht="16.5" customHeight="1">
      <c r="A46" s="14">
        <v>46307</v>
      </c>
      <c r="B46" s="15" t="s">
        <v>60</v>
      </c>
      <c r="C46" s="16"/>
      <c r="D46" s="16"/>
      <c r="E46" s="22"/>
      <c r="F46" s="17">
        <f t="shared" si="14"/>
        <v>45</v>
      </c>
      <c r="G46" s="18" t="str">
        <f t="shared" si="15"/>
        <v/>
      </c>
      <c r="H46" s="15" t="str">
        <f t="shared" si="16"/>
        <v>미입력</v>
      </c>
      <c r="I46" s="17">
        <f t="shared" si="17"/>
        <v>60</v>
      </c>
      <c r="J46" s="18" t="str">
        <f t="shared" si="18"/>
        <v/>
      </c>
      <c r="K46" s="15" t="str">
        <f t="shared" si="19"/>
        <v>미입력</v>
      </c>
    </row>
    <row r="47" spans="1:11" ht="16.5" customHeight="1">
      <c r="A47" s="14">
        <v>46308</v>
      </c>
      <c r="B47" s="15" t="s">
        <v>47</v>
      </c>
      <c r="C47" s="16"/>
      <c r="D47" s="16"/>
      <c r="E47" s="22"/>
      <c r="F47" s="17">
        <f t="shared" si="14"/>
        <v>45</v>
      </c>
      <c r="G47" s="18" t="str">
        <f t="shared" si="15"/>
        <v/>
      </c>
      <c r="H47" s="15" t="str">
        <f t="shared" si="16"/>
        <v>미입력</v>
      </c>
      <c r="I47" s="17">
        <f t="shared" si="17"/>
        <v>60</v>
      </c>
      <c r="J47" s="18" t="str">
        <f t="shared" si="18"/>
        <v/>
      </c>
      <c r="K47" s="15" t="str">
        <f t="shared" si="19"/>
        <v>미입력</v>
      </c>
    </row>
    <row r="48" spans="1:11" ht="16.5" customHeight="1">
      <c r="A48" s="14">
        <v>46309</v>
      </c>
      <c r="B48" s="15" t="s">
        <v>49</v>
      </c>
      <c r="C48" s="16"/>
      <c r="D48" s="16"/>
      <c r="E48" s="22"/>
      <c r="F48" s="17">
        <f t="shared" si="14"/>
        <v>45</v>
      </c>
      <c r="G48" s="18" t="str">
        <f t="shared" si="15"/>
        <v/>
      </c>
      <c r="H48" s="15" t="str">
        <f t="shared" si="16"/>
        <v>미입력</v>
      </c>
      <c r="I48" s="17">
        <f t="shared" si="17"/>
        <v>60</v>
      </c>
      <c r="J48" s="18" t="str">
        <f t="shared" si="18"/>
        <v/>
      </c>
      <c r="K48" s="15" t="str">
        <f t="shared" si="19"/>
        <v>미입력</v>
      </c>
    </row>
    <row r="49" spans="1:11" ht="16.5" customHeight="1">
      <c r="A49" s="14">
        <v>46310</v>
      </c>
      <c r="B49" s="15" t="s">
        <v>51</v>
      </c>
      <c r="C49" s="16"/>
      <c r="D49" s="16"/>
      <c r="E49" s="22"/>
      <c r="F49" s="17">
        <f t="shared" si="14"/>
        <v>45</v>
      </c>
      <c r="G49" s="18" t="str">
        <f t="shared" si="15"/>
        <v/>
      </c>
      <c r="H49" s="15" t="str">
        <f t="shared" si="16"/>
        <v>미입력</v>
      </c>
      <c r="I49" s="17">
        <f t="shared" si="17"/>
        <v>60</v>
      </c>
      <c r="J49" s="18" t="str">
        <f t="shared" si="18"/>
        <v/>
      </c>
      <c r="K49" s="15" t="str">
        <f t="shared" si="19"/>
        <v>미입력</v>
      </c>
    </row>
    <row r="50" spans="1:11" ht="16.5" customHeight="1">
      <c r="A50" s="14">
        <v>46311</v>
      </c>
      <c r="B50" s="15" t="s">
        <v>54</v>
      </c>
      <c r="C50" s="16"/>
      <c r="D50" s="16"/>
      <c r="E50" s="22"/>
      <c r="F50" s="17">
        <f t="shared" si="14"/>
        <v>45</v>
      </c>
      <c r="G50" s="18" t="str">
        <f t="shared" si="15"/>
        <v/>
      </c>
      <c r="H50" s="15" t="str">
        <f t="shared" si="16"/>
        <v>미입력</v>
      </c>
      <c r="I50" s="17">
        <f t="shared" si="17"/>
        <v>60</v>
      </c>
      <c r="J50" s="18" t="str">
        <f t="shared" si="18"/>
        <v/>
      </c>
      <c r="K50" s="15" t="str">
        <f t="shared" si="19"/>
        <v>미입력</v>
      </c>
    </row>
    <row r="51" spans="1:11" ht="16.5" customHeight="1">
      <c r="A51" s="23">
        <v>46312</v>
      </c>
      <c r="B51" s="24" t="s">
        <v>56</v>
      </c>
      <c r="C51" s="16"/>
      <c r="D51" s="16"/>
      <c r="E51" s="22"/>
      <c r="F51" s="25">
        <f t="shared" si="14"/>
        <v>45</v>
      </c>
      <c r="G51" s="26" t="str">
        <f t="shared" si="15"/>
        <v/>
      </c>
      <c r="H51" s="24" t="str">
        <f t="shared" si="16"/>
        <v>미입력</v>
      </c>
      <c r="I51" s="25">
        <f t="shared" si="17"/>
        <v>60</v>
      </c>
      <c r="J51" s="26" t="str">
        <f t="shared" si="18"/>
        <v/>
      </c>
      <c r="K51" s="24" t="str">
        <f t="shared" si="19"/>
        <v>미입력</v>
      </c>
    </row>
    <row r="52" spans="1:11" ht="16.5" customHeight="1">
      <c r="A52" s="27">
        <v>46313</v>
      </c>
      <c r="B52" s="28" t="s">
        <v>58</v>
      </c>
      <c r="C52" s="16"/>
      <c r="D52" s="16"/>
      <c r="E52" s="22"/>
      <c r="F52" s="29">
        <f t="shared" si="14"/>
        <v>45</v>
      </c>
      <c r="G52" s="30" t="str">
        <f t="shared" si="15"/>
        <v/>
      </c>
      <c r="H52" s="28" t="str">
        <f t="shared" si="16"/>
        <v>미입력</v>
      </c>
      <c r="I52" s="29">
        <f t="shared" si="17"/>
        <v>60</v>
      </c>
      <c r="J52" s="30" t="str">
        <f t="shared" si="18"/>
        <v/>
      </c>
      <c r="K52" s="28" t="str">
        <f t="shared" si="19"/>
        <v>미입력</v>
      </c>
    </row>
    <row r="53" spans="1:11" ht="16.5" customHeight="1">
      <c r="A53" s="14">
        <v>46314</v>
      </c>
      <c r="B53" s="15" t="s">
        <v>60</v>
      </c>
      <c r="C53" s="16"/>
      <c r="D53" s="16"/>
      <c r="E53" s="22"/>
      <c r="F53" s="17">
        <f t="shared" si="14"/>
        <v>45</v>
      </c>
      <c r="G53" s="18" t="str">
        <f t="shared" si="15"/>
        <v/>
      </c>
      <c r="H53" s="15" t="str">
        <f t="shared" si="16"/>
        <v>미입력</v>
      </c>
      <c r="I53" s="17">
        <f t="shared" si="17"/>
        <v>60</v>
      </c>
      <c r="J53" s="18" t="str">
        <f t="shared" si="18"/>
        <v/>
      </c>
      <c r="K53" s="15" t="str">
        <f t="shared" si="19"/>
        <v>미입력</v>
      </c>
    </row>
    <row r="54" spans="1:11" ht="16.5" customHeight="1">
      <c r="A54" s="14">
        <v>46315</v>
      </c>
      <c r="B54" s="15" t="s">
        <v>47</v>
      </c>
      <c r="C54" s="16"/>
      <c r="D54" s="16"/>
      <c r="E54" s="22"/>
      <c r="F54" s="17">
        <f t="shared" si="14"/>
        <v>45</v>
      </c>
      <c r="G54" s="18" t="str">
        <f t="shared" si="15"/>
        <v/>
      </c>
      <c r="H54" s="15" t="str">
        <f t="shared" si="16"/>
        <v>미입력</v>
      </c>
      <c r="I54" s="17">
        <f t="shared" si="17"/>
        <v>60</v>
      </c>
      <c r="J54" s="18" t="str">
        <f t="shared" si="18"/>
        <v/>
      </c>
      <c r="K54" s="15" t="str">
        <f t="shared" si="19"/>
        <v>미입력</v>
      </c>
    </row>
    <row r="55" spans="1:11" ht="16.5" customHeight="1">
      <c r="A55" s="14">
        <v>46316</v>
      </c>
      <c r="B55" s="15" t="s">
        <v>49</v>
      </c>
      <c r="C55" s="16"/>
      <c r="D55" s="16"/>
      <c r="E55" s="22"/>
      <c r="F55" s="17">
        <f t="shared" si="14"/>
        <v>45</v>
      </c>
      <c r="G55" s="18" t="str">
        <f t="shared" si="15"/>
        <v/>
      </c>
      <c r="H55" s="15" t="str">
        <f t="shared" si="16"/>
        <v>미입력</v>
      </c>
      <c r="I55" s="17">
        <f t="shared" si="17"/>
        <v>60</v>
      </c>
      <c r="J55" s="18" t="str">
        <f t="shared" si="18"/>
        <v/>
      </c>
      <c r="K55" s="15" t="str">
        <f t="shared" si="19"/>
        <v>미입력</v>
      </c>
    </row>
    <row r="56" spans="1:11" ht="16.5" customHeight="1">
      <c r="A56" s="14">
        <v>46317</v>
      </c>
      <c r="B56" s="15" t="s">
        <v>51</v>
      </c>
      <c r="C56" s="16"/>
      <c r="D56" s="16"/>
      <c r="E56" s="22"/>
      <c r="F56" s="17">
        <f t="shared" si="14"/>
        <v>45</v>
      </c>
      <c r="G56" s="18" t="str">
        <f t="shared" si="15"/>
        <v/>
      </c>
      <c r="H56" s="15" t="str">
        <f t="shared" si="16"/>
        <v>미입력</v>
      </c>
      <c r="I56" s="17">
        <f t="shared" si="17"/>
        <v>60</v>
      </c>
      <c r="J56" s="18" t="str">
        <f t="shared" si="18"/>
        <v/>
      </c>
      <c r="K56" s="15" t="str">
        <f t="shared" si="19"/>
        <v>미입력</v>
      </c>
    </row>
    <row r="57" spans="1:11" ht="16.5" customHeight="1">
      <c r="A57" s="14">
        <v>46318</v>
      </c>
      <c r="B57" s="15" t="s">
        <v>54</v>
      </c>
      <c r="C57" s="16"/>
      <c r="D57" s="16"/>
      <c r="E57" s="22"/>
      <c r="F57" s="17">
        <f t="shared" si="14"/>
        <v>45</v>
      </c>
      <c r="G57" s="18" t="str">
        <f t="shared" si="15"/>
        <v/>
      </c>
      <c r="H57" s="15" t="str">
        <f t="shared" si="16"/>
        <v>미입력</v>
      </c>
      <c r="I57" s="17">
        <f t="shared" si="17"/>
        <v>60</v>
      </c>
      <c r="J57" s="18" t="str">
        <f t="shared" si="18"/>
        <v/>
      </c>
      <c r="K57" s="15" t="str">
        <f t="shared" si="19"/>
        <v>미입력</v>
      </c>
    </row>
    <row r="58" spans="1:11" ht="16.5" customHeight="1">
      <c r="A58" s="23">
        <v>46319</v>
      </c>
      <c r="B58" s="24" t="s">
        <v>56</v>
      </c>
      <c r="C58" s="16"/>
      <c r="D58" s="16"/>
      <c r="E58" s="22"/>
      <c r="F58" s="25">
        <f t="shared" si="14"/>
        <v>45</v>
      </c>
      <c r="G58" s="26" t="str">
        <f t="shared" si="15"/>
        <v/>
      </c>
      <c r="H58" s="24" t="str">
        <f t="shared" si="16"/>
        <v>미입력</v>
      </c>
      <c r="I58" s="25">
        <f t="shared" si="17"/>
        <v>60</v>
      </c>
      <c r="J58" s="26" t="str">
        <f t="shared" si="18"/>
        <v/>
      </c>
      <c r="K58" s="24" t="str">
        <f t="shared" si="19"/>
        <v>미입력</v>
      </c>
    </row>
    <row r="59" spans="1:11" ht="16.5" customHeight="1">
      <c r="A59" s="27">
        <v>46320</v>
      </c>
      <c r="B59" s="28" t="s">
        <v>58</v>
      </c>
      <c r="C59" s="16"/>
      <c r="D59" s="16"/>
      <c r="E59" s="22"/>
      <c r="F59" s="29">
        <f t="shared" si="14"/>
        <v>45</v>
      </c>
      <c r="G59" s="30" t="str">
        <f t="shared" si="15"/>
        <v/>
      </c>
      <c r="H59" s="28" t="str">
        <f t="shared" si="16"/>
        <v>미입력</v>
      </c>
      <c r="I59" s="29">
        <f t="shared" si="17"/>
        <v>60</v>
      </c>
      <c r="J59" s="30" t="str">
        <f t="shared" si="18"/>
        <v/>
      </c>
      <c r="K59" s="28" t="str">
        <f t="shared" si="19"/>
        <v>미입력</v>
      </c>
    </row>
    <row r="60" spans="1:11" ht="16.5" customHeight="1">
      <c r="A60" s="14">
        <v>46321</v>
      </c>
      <c r="B60" s="15" t="s">
        <v>60</v>
      </c>
      <c r="C60" s="16"/>
      <c r="D60" s="16"/>
      <c r="E60" s="22"/>
      <c r="F60" s="17">
        <f t="shared" si="14"/>
        <v>45</v>
      </c>
      <c r="G60" s="18" t="str">
        <f t="shared" si="15"/>
        <v/>
      </c>
      <c r="H60" s="15" t="str">
        <f t="shared" si="16"/>
        <v>미입력</v>
      </c>
      <c r="I60" s="17">
        <f t="shared" si="17"/>
        <v>60</v>
      </c>
      <c r="J60" s="18" t="str">
        <f t="shared" si="18"/>
        <v/>
      </c>
      <c r="K60" s="15" t="str">
        <f t="shared" si="19"/>
        <v>미입력</v>
      </c>
    </row>
    <row r="61" spans="1:11" ht="16.5" customHeight="1">
      <c r="A61" s="14">
        <v>46322</v>
      </c>
      <c r="B61" s="15" t="s">
        <v>47</v>
      </c>
      <c r="C61" s="16"/>
      <c r="D61" s="16"/>
      <c r="E61" s="22"/>
      <c r="F61" s="17">
        <f t="shared" si="14"/>
        <v>45</v>
      </c>
      <c r="G61" s="18" t="str">
        <f t="shared" si="15"/>
        <v/>
      </c>
      <c r="H61" s="15" t="str">
        <f t="shared" si="16"/>
        <v>미입력</v>
      </c>
      <c r="I61" s="17">
        <f t="shared" si="17"/>
        <v>60</v>
      </c>
      <c r="J61" s="18" t="str">
        <f t="shared" si="18"/>
        <v/>
      </c>
      <c r="K61" s="15" t="str">
        <f t="shared" si="19"/>
        <v>미입력</v>
      </c>
    </row>
    <row r="62" spans="1:11" ht="16.5" customHeight="1">
      <c r="A62" s="14">
        <v>46323</v>
      </c>
      <c r="B62" s="15" t="s">
        <v>49</v>
      </c>
      <c r="C62" s="16"/>
      <c r="D62" s="16"/>
      <c r="E62" s="22"/>
      <c r="F62" s="17">
        <f t="shared" si="14"/>
        <v>45</v>
      </c>
      <c r="G62" s="18" t="str">
        <f t="shared" si="15"/>
        <v/>
      </c>
      <c r="H62" s="15" t="str">
        <f t="shared" si="16"/>
        <v>미입력</v>
      </c>
      <c r="I62" s="17">
        <f t="shared" si="17"/>
        <v>60</v>
      </c>
      <c r="J62" s="18" t="str">
        <f t="shared" si="18"/>
        <v/>
      </c>
      <c r="K62" s="15" t="str">
        <f t="shared" si="19"/>
        <v>미입력</v>
      </c>
    </row>
    <row r="63" spans="1:11" ht="16.5" customHeight="1">
      <c r="A63" s="14">
        <v>46324</v>
      </c>
      <c r="B63" s="15" t="s">
        <v>51</v>
      </c>
      <c r="C63" s="16"/>
      <c r="D63" s="16"/>
      <c r="E63" s="22"/>
      <c r="F63" s="17">
        <f t="shared" si="14"/>
        <v>45</v>
      </c>
      <c r="G63" s="18" t="str">
        <f t="shared" si="15"/>
        <v/>
      </c>
      <c r="H63" s="15" t="str">
        <f t="shared" si="16"/>
        <v>미입력</v>
      </c>
      <c r="I63" s="17">
        <f t="shared" si="17"/>
        <v>60</v>
      </c>
      <c r="J63" s="18" t="str">
        <f t="shared" si="18"/>
        <v/>
      </c>
      <c r="K63" s="15" t="str">
        <f t="shared" si="19"/>
        <v>미입력</v>
      </c>
    </row>
    <row r="64" spans="1:11" ht="16.5" customHeight="1">
      <c r="A64" s="14">
        <v>46325</v>
      </c>
      <c r="B64" s="15" t="s">
        <v>54</v>
      </c>
      <c r="C64" s="16"/>
      <c r="D64" s="16"/>
      <c r="E64" s="22"/>
      <c r="F64" s="17">
        <f t="shared" si="14"/>
        <v>45</v>
      </c>
      <c r="G64" s="18" t="str">
        <f t="shared" si="15"/>
        <v/>
      </c>
      <c r="H64" s="15" t="str">
        <f t="shared" si="16"/>
        <v>미입력</v>
      </c>
      <c r="I64" s="17">
        <f t="shared" si="17"/>
        <v>60</v>
      </c>
      <c r="J64" s="18" t="str">
        <f t="shared" si="18"/>
        <v/>
      </c>
      <c r="K64" s="15" t="str">
        <f t="shared" si="19"/>
        <v>미입력</v>
      </c>
    </row>
    <row r="65" spans="1:11" ht="16.5" customHeight="1">
      <c r="A65" s="23">
        <v>46326</v>
      </c>
      <c r="B65" s="24" t="s">
        <v>56</v>
      </c>
      <c r="C65" s="16"/>
      <c r="D65" s="16"/>
      <c r="E65" s="22"/>
      <c r="F65" s="25">
        <f t="shared" si="14"/>
        <v>45</v>
      </c>
      <c r="G65" s="26" t="str">
        <f t="shared" si="15"/>
        <v/>
      </c>
      <c r="H65" s="24" t="str">
        <f t="shared" si="16"/>
        <v>미입력</v>
      </c>
      <c r="I65" s="25">
        <f t="shared" si="17"/>
        <v>60</v>
      </c>
      <c r="J65" s="26" t="str">
        <f t="shared" si="18"/>
        <v/>
      </c>
      <c r="K65" s="24" t="str">
        <f t="shared" si="19"/>
        <v>미입력</v>
      </c>
    </row>
    <row r="66" spans="1:11" ht="16.5" customHeight="1">
      <c r="A66" s="27">
        <v>46327</v>
      </c>
      <c r="B66" s="28" t="s">
        <v>58</v>
      </c>
      <c r="C66" s="16"/>
      <c r="D66" s="16"/>
      <c r="E66" s="22"/>
      <c r="F66" s="29">
        <f t="shared" si="14"/>
        <v>45</v>
      </c>
      <c r="G66" s="30" t="str">
        <f t="shared" si="15"/>
        <v/>
      </c>
      <c r="H66" s="28" t="str">
        <f t="shared" si="16"/>
        <v>미입력</v>
      </c>
      <c r="I66" s="29">
        <f t="shared" si="17"/>
        <v>60</v>
      </c>
      <c r="J66" s="30" t="str">
        <f t="shared" si="18"/>
        <v/>
      </c>
      <c r="K66" s="28" t="str">
        <f t="shared" si="19"/>
        <v>미입력</v>
      </c>
    </row>
    <row r="67" spans="1:11" ht="16.5" customHeight="1">
      <c r="A67" s="14">
        <v>46328</v>
      </c>
      <c r="B67" s="15" t="s">
        <v>60</v>
      </c>
      <c r="C67" s="16"/>
      <c r="D67" s="16"/>
      <c r="E67" s="22"/>
      <c r="F67" s="17">
        <f t="shared" si="14"/>
        <v>45</v>
      </c>
      <c r="G67" s="18" t="str">
        <f t="shared" si="15"/>
        <v/>
      </c>
      <c r="H67" s="15" t="str">
        <f t="shared" si="16"/>
        <v>미입력</v>
      </c>
      <c r="I67" s="17">
        <f t="shared" si="17"/>
        <v>60</v>
      </c>
      <c r="J67" s="18" t="str">
        <f t="shared" si="18"/>
        <v/>
      </c>
      <c r="K67" s="15" t="str">
        <f t="shared" si="19"/>
        <v>미입력</v>
      </c>
    </row>
    <row r="68" spans="1:11" ht="16.5" customHeight="1">
      <c r="A68" s="14">
        <v>46329</v>
      </c>
      <c r="B68" s="15" t="s">
        <v>47</v>
      </c>
      <c r="C68" s="16"/>
      <c r="D68" s="16"/>
      <c r="E68" s="22"/>
      <c r="F68" s="17">
        <f t="shared" si="14"/>
        <v>45</v>
      </c>
      <c r="G68" s="18" t="str">
        <f t="shared" si="15"/>
        <v/>
      </c>
      <c r="H68" s="15" t="str">
        <f t="shared" si="16"/>
        <v>미입력</v>
      </c>
      <c r="I68" s="17">
        <f t="shared" si="17"/>
        <v>60</v>
      </c>
      <c r="J68" s="18" t="str">
        <f t="shared" si="18"/>
        <v/>
      </c>
      <c r="K68" s="15" t="str">
        <f t="shared" si="19"/>
        <v>미입력</v>
      </c>
    </row>
    <row r="69" spans="1:11" ht="16.5" customHeight="1">
      <c r="A69" s="14">
        <v>46330</v>
      </c>
      <c r="B69" s="15" t="s">
        <v>49</v>
      </c>
      <c r="C69" s="16"/>
      <c r="D69" s="16"/>
      <c r="E69" s="22"/>
      <c r="F69" s="17">
        <f t="shared" ref="F69:F100" si="20">IF(OR($E69="오전반차",$E69="오후반차"),$D$2/2,$D$2)</f>
        <v>45</v>
      </c>
      <c r="G69" s="18" t="str">
        <f t="shared" ref="G69:G100" si="21">IF($C69="","",$C69/$F69)</f>
        <v/>
      </c>
      <c r="H69" s="15" t="str">
        <f t="shared" ref="H69:H100" si="22">IF($C69="",IF($E69="","미입력",$E69),IF($C69&gt;=$F69,"달성","미달"))</f>
        <v>미입력</v>
      </c>
      <c r="I69" s="17">
        <f t="shared" ref="I69:I100" si="23">IF(OR($E69="오전반차",$E69="오후반차"),$F$2/2,$F$2)</f>
        <v>60</v>
      </c>
      <c r="J69" s="18" t="str">
        <f t="shared" ref="J69:J100" si="24">IF($D69="","",$D69/$I69)</f>
        <v/>
      </c>
      <c r="K69" s="15" t="str">
        <f t="shared" ref="K69:K100" si="25">IF($D69="",IF($E69="","미입력",$E69),IF($D69&gt;=$I69,"달성","미달"))</f>
        <v>미입력</v>
      </c>
    </row>
    <row r="70" spans="1:11" ht="16.5" customHeight="1">
      <c r="A70" s="14">
        <v>46331</v>
      </c>
      <c r="B70" s="15" t="s">
        <v>51</v>
      </c>
      <c r="C70" s="16"/>
      <c r="D70" s="16"/>
      <c r="E70" s="22"/>
      <c r="F70" s="17">
        <f t="shared" si="20"/>
        <v>45</v>
      </c>
      <c r="G70" s="18" t="str">
        <f t="shared" si="21"/>
        <v/>
      </c>
      <c r="H70" s="15" t="str">
        <f t="shared" si="22"/>
        <v>미입력</v>
      </c>
      <c r="I70" s="17">
        <f t="shared" si="23"/>
        <v>60</v>
      </c>
      <c r="J70" s="18" t="str">
        <f t="shared" si="24"/>
        <v/>
      </c>
      <c r="K70" s="15" t="str">
        <f t="shared" si="25"/>
        <v>미입력</v>
      </c>
    </row>
    <row r="71" spans="1:11" ht="16.5" customHeight="1">
      <c r="A71" s="14">
        <v>46332</v>
      </c>
      <c r="B71" s="15" t="s">
        <v>54</v>
      </c>
      <c r="C71" s="16"/>
      <c r="D71" s="16"/>
      <c r="E71" s="22"/>
      <c r="F71" s="17">
        <f t="shared" si="20"/>
        <v>45</v>
      </c>
      <c r="G71" s="18" t="str">
        <f t="shared" si="21"/>
        <v/>
      </c>
      <c r="H71" s="15" t="str">
        <f t="shared" si="22"/>
        <v>미입력</v>
      </c>
      <c r="I71" s="17">
        <f t="shared" si="23"/>
        <v>60</v>
      </c>
      <c r="J71" s="18" t="str">
        <f t="shared" si="24"/>
        <v/>
      </c>
      <c r="K71" s="15" t="str">
        <f t="shared" si="25"/>
        <v>미입력</v>
      </c>
    </row>
    <row r="72" spans="1:11" ht="16.5" customHeight="1">
      <c r="A72" s="23">
        <v>46333</v>
      </c>
      <c r="B72" s="24" t="s">
        <v>56</v>
      </c>
      <c r="C72" s="16"/>
      <c r="D72" s="16"/>
      <c r="E72" s="22"/>
      <c r="F72" s="25">
        <f t="shared" si="20"/>
        <v>45</v>
      </c>
      <c r="G72" s="26" t="str">
        <f t="shared" si="21"/>
        <v/>
      </c>
      <c r="H72" s="24" t="str">
        <f t="shared" si="22"/>
        <v>미입력</v>
      </c>
      <c r="I72" s="25">
        <f t="shared" si="23"/>
        <v>60</v>
      </c>
      <c r="J72" s="26" t="str">
        <f t="shared" si="24"/>
        <v/>
      </c>
      <c r="K72" s="24" t="str">
        <f t="shared" si="25"/>
        <v>미입력</v>
      </c>
    </row>
    <row r="73" spans="1:11" ht="16.5" customHeight="1">
      <c r="A73" s="27">
        <v>46334</v>
      </c>
      <c r="B73" s="28" t="s">
        <v>58</v>
      </c>
      <c r="C73" s="16"/>
      <c r="D73" s="16"/>
      <c r="E73" s="22"/>
      <c r="F73" s="29">
        <f t="shared" si="20"/>
        <v>45</v>
      </c>
      <c r="G73" s="30" t="str">
        <f t="shared" si="21"/>
        <v/>
      </c>
      <c r="H73" s="28" t="str">
        <f t="shared" si="22"/>
        <v>미입력</v>
      </c>
      <c r="I73" s="29">
        <f t="shared" si="23"/>
        <v>60</v>
      </c>
      <c r="J73" s="30" t="str">
        <f t="shared" si="24"/>
        <v/>
      </c>
      <c r="K73" s="28" t="str">
        <f t="shared" si="25"/>
        <v>미입력</v>
      </c>
    </row>
    <row r="74" spans="1:11" ht="16.5" customHeight="1">
      <c r="A74" s="14">
        <v>46335</v>
      </c>
      <c r="B74" s="15" t="s">
        <v>60</v>
      </c>
      <c r="C74" s="16"/>
      <c r="D74" s="16"/>
      <c r="E74" s="22"/>
      <c r="F74" s="17">
        <f t="shared" si="20"/>
        <v>45</v>
      </c>
      <c r="G74" s="18" t="str">
        <f t="shared" si="21"/>
        <v/>
      </c>
      <c r="H74" s="15" t="str">
        <f t="shared" si="22"/>
        <v>미입력</v>
      </c>
      <c r="I74" s="17">
        <f t="shared" si="23"/>
        <v>60</v>
      </c>
      <c r="J74" s="18" t="str">
        <f t="shared" si="24"/>
        <v/>
      </c>
      <c r="K74" s="15" t="str">
        <f t="shared" si="25"/>
        <v>미입력</v>
      </c>
    </row>
    <row r="75" spans="1:11" ht="16.5" customHeight="1">
      <c r="A75" s="14">
        <v>46336</v>
      </c>
      <c r="B75" s="15" t="s">
        <v>47</v>
      </c>
      <c r="C75" s="16"/>
      <c r="D75" s="16"/>
      <c r="E75" s="22"/>
      <c r="F75" s="17">
        <f t="shared" si="20"/>
        <v>45</v>
      </c>
      <c r="G75" s="18" t="str">
        <f t="shared" si="21"/>
        <v/>
      </c>
      <c r="H75" s="15" t="str">
        <f t="shared" si="22"/>
        <v>미입력</v>
      </c>
      <c r="I75" s="17">
        <f t="shared" si="23"/>
        <v>60</v>
      </c>
      <c r="J75" s="18" t="str">
        <f t="shared" si="24"/>
        <v/>
      </c>
      <c r="K75" s="15" t="str">
        <f t="shared" si="25"/>
        <v>미입력</v>
      </c>
    </row>
    <row r="76" spans="1:11" ht="16.5" customHeight="1">
      <c r="A76" s="14">
        <v>46337</v>
      </c>
      <c r="B76" s="15" t="s">
        <v>49</v>
      </c>
      <c r="C76" s="16"/>
      <c r="D76" s="16"/>
      <c r="E76" s="22"/>
      <c r="F76" s="17">
        <f t="shared" si="20"/>
        <v>45</v>
      </c>
      <c r="G76" s="18" t="str">
        <f t="shared" si="21"/>
        <v/>
      </c>
      <c r="H76" s="15" t="str">
        <f t="shared" si="22"/>
        <v>미입력</v>
      </c>
      <c r="I76" s="17">
        <f t="shared" si="23"/>
        <v>60</v>
      </c>
      <c r="J76" s="18" t="str">
        <f t="shared" si="24"/>
        <v/>
      </c>
      <c r="K76" s="15" t="str">
        <f t="shared" si="25"/>
        <v>미입력</v>
      </c>
    </row>
    <row r="77" spans="1:11" ht="16.5" customHeight="1">
      <c r="A77" s="14">
        <v>46338</v>
      </c>
      <c r="B77" s="15" t="s">
        <v>51</v>
      </c>
      <c r="C77" s="16"/>
      <c r="D77" s="16"/>
      <c r="E77" s="22"/>
      <c r="F77" s="17">
        <f t="shared" si="20"/>
        <v>45</v>
      </c>
      <c r="G77" s="18" t="str">
        <f t="shared" si="21"/>
        <v/>
      </c>
      <c r="H77" s="15" t="str">
        <f t="shared" si="22"/>
        <v>미입력</v>
      </c>
      <c r="I77" s="17">
        <f t="shared" si="23"/>
        <v>60</v>
      </c>
      <c r="J77" s="18" t="str">
        <f t="shared" si="24"/>
        <v/>
      </c>
      <c r="K77" s="15" t="str">
        <f t="shared" si="25"/>
        <v>미입력</v>
      </c>
    </row>
    <row r="78" spans="1:11" ht="16.5" customHeight="1">
      <c r="A78" s="14">
        <v>46339</v>
      </c>
      <c r="B78" s="15" t="s">
        <v>54</v>
      </c>
      <c r="C78" s="16"/>
      <c r="D78" s="16"/>
      <c r="E78" s="22"/>
      <c r="F78" s="17">
        <f t="shared" si="20"/>
        <v>45</v>
      </c>
      <c r="G78" s="18" t="str">
        <f t="shared" si="21"/>
        <v/>
      </c>
      <c r="H78" s="15" t="str">
        <f t="shared" si="22"/>
        <v>미입력</v>
      </c>
      <c r="I78" s="17">
        <f t="shared" si="23"/>
        <v>60</v>
      </c>
      <c r="J78" s="18" t="str">
        <f t="shared" si="24"/>
        <v/>
      </c>
      <c r="K78" s="15" t="str">
        <f t="shared" si="25"/>
        <v>미입력</v>
      </c>
    </row>
    <row r="79" spans="1:11" ht="16.5" customHeight="1">
      <c r="A79" s="23">
        <v>46340</v>
      </c>
      <c r="B79" s="24" t="s">
        <v>56</v>
      </c>
      <c r="C79" s="16"/>
      <c r="D79" s="16"/>
      <c r="E79" s="22"/>
      <c r="F79" s="25">
        <f t="shared" si="20"/>
        <v>45</v>
      </c>
      <c r="G79" s="26" t="str">
        <f t="shared" si="21"/>
        <v/>
      </c>
      <c r="H79" s="24" t="str">
        <f t="shared" si="22"/>
        <v>미입력</v>
      </c>
      <c r="I79" s="25">
        <f t="shared" si="23"/>
        <v>60</v>
      </c>
      <c r="J79" s="26" t="str">
        <f t="shared" si="24"/>
        <v/>
      </c>
      <c r="K79" s="24" t="str">
        <f t="shared" si="25"/>
        <v>미입력</v>
      </c>
    </row>
    <row r="80" spans="1:11" ht="16.5" customHeight="1">
      <c r="A80" s="27">
        <v>46341</v>
      </c>
      <c r="B80" s="28" t="s">
        <v>58</v>
      </c>
      <c r="C80" s="16"/>
      <c r="D80" s="16"/>
      <c r="E80" s="22"/>
      <c r="F80" s="29">
        <f t="shared" si="20"/>
        <v>45</v>
      </c>
      <c r="G80" s="30" t="str">
        <f t="shared" si="21"/>
        <v/>
      </c>
      <c r="H80" s="28" t="str">
        <f t="shared" si="22"/>
        <v>미입력</v>
      </c>
      <c r="I80" s="29">
        <f t="shared" si="23"/>
        <v>60</v>
      </c>
      <c r="J80" s="30" t="str">
        <f t="shared" si="24"/>
        <v/>
      </c>
      <c r="K80" s="28" t="str">
        <f t="shared" si="25"/>
        <v>미입력</v>
      </c>
    </row>
    <row r="81" spans="1:11" ht="16.5" customHeight="1">
      <c r="A81" s="14">
        <v>46342</v>
      </c>
      <c r="B81" s="15" t="s">
        <v>60</v>
      </c>
      <c r="C81" s="16"/>
      <c r="D81" s="16"/>
      <c r="E81" s="22"/>
      <c r="F81" s="17">
        <f t="shared" si="20"/>
        <v>45</v>
      </c>
      <c r="G81" s="18" t="str">
        <f t="shared" si="21"/>
        <v/>
      </c>
      <c r="H81" s="15" t="str">
        <f t="shared" si="22"/>
        <v>미입력</v>
      </c>
      <c r="I81" s="17">
        <f t="shared" si="23"/>
        <v>60</v>
      </c>
      <c r="J81" s="18" t="str">
        <f t="shared" si="24"/>
        <v/>
      </c>
      <c r="K81" s="15" t="str">
        <f t="shared" si="25"/>
        <v>미입력</v>
      </c>
    </row>
    <row r="82" spans="1:11" ht="16.5" customHeight="1">
      <c r="A82" s="14">
        <v>46343</v>
      </c>
      <c r="B82" s="15" t="s">
        <v>47</v>
      </c>
      <c r="C82" s="16"/>
      <c r="D82" s="16"/>
      <c r="E82" s="22"/>
      <c r="F82" s="17">
        <f t="shared" si="20"/>
        <v>45</v>
      </c>
      <c r="G82" s="18" t="str">
        <f t="shared" si="21"/>
        <v/>
      </c>
      <c r="H82" s="15" t="str">
        <f t="shared" si="22"/>
        <v>미입력</v>
      </c>
      <c r="I82" s="17">
        <f t="shared" si="23"/>
        <v>60</v>
      </c>
      <c r="J82" s="18" t="str">
        <f t="shared" si="24"/>
        <v/>
      </c>
      <c r="K82" s="15" t="str">
        <f t="shared" si="25"/>
        <v>미입력</v>
      </c>
    </row>
    <row r="83" spans="1:11" ht="16.5" customHeight="1">
      <c r="A83" s="14">
        <v>46344</v>
      </c>
      <c r="B83" s="15" t="s">
        <v>49</v>
      </c>
      <c r="C83" s="16"/>
      <c r="D83" s="16"/>
      <c r="E83" s="22"/>
      <c r="F83" s="17">
        <f t="shared" si="20"/>
        <v>45</v>
      </c>
      <c r="G83" s="18" t="str">
        <f t="shared" si="21"/>
        <v/>
      </c>
      <c r="H83" s="15" t="str">
        <f t="shared" si="22"/>
        <v>미입력</v>
      </c>
      <c r="I83" s="17">
        <f t="shared" si="23"/>
        <v>60</v>
      </c>
      <c r="J83" s="18" t="str">
        <f t="shared" si="24"/>
        <v/>
      </c>
      <c r="K83" s="15" t="str">
        <f t="shared" si="25"/>
        <v>미입력</v>
      </c>
    </row>
    <row r="84" spans="1:11" ht="16.5" customHeight="1">
      <c r="A84" s="14">
        <v>46345</v>
      </c>
      <c r="B84" s="15" t="s">
        <v>51</v>
      </c>
      <c r="C84" s="16"/>
      <c r="D84" s="16"/>
      <c r="E84" s="22"/>
      <c r="F84" s="17">
        <f t="shared" si="20"/>
        <v>45</v>
      </c>
      <c r="G84" s="18" t="str">
        <f t="shared" si="21"/>
        <v/>
      </c>
      <c r="H84" s="15" t="str">
        <f t="shared" si="22"/>
        <v>미입력</v>
      </c>
      <c r="I84" s="17">
        <f t="shared" si="23"/>
        <v>60</v>
      </c>
      <c r="J84" s="18" t="str">
        <f t="shared" si="24"/>
        <v/>
      </c>
      <c r="K84" s="15" t="str">
        <f t="shared" si="25"/>
        <v>미입력</v>
      </c>
    </row>
    <row r="85" spans="1:11" ht="16.5" customHeight="1">
      <c r="A85" s="14">
        <v>46346</v>
      </c>
      <c r="B85" s="15" t="s">
        <v>54</v>
      </c>
      <c r="C85" s="16"/>
      <c r="D85" s="16"/>
      <c r="E85" s="22"/>
      <c r="F85" s="17">
        <f t="shared" si="20"/>
        <v>45</v>
      </c>
      <c r="G85" s="18" t="str">
        <f t="shared" si="21"/>
        <v/>
      </c>
      <c r="H85" s="15" t="str">
        <f t="shared" si="22"/>
        <v>미입력</v>
      </c>
      <c r="I85" s="17">
        <f t="shared" si="23"/>
        <v>60</v>
      </c>
      <c r="J85" s="18" t="str">
        <f t="shared" si="24"/>
        <v/>
      </c>
      <c r="K85" s="15" t="str">
        <f t="shared" si="25"/>
        <v>미입력</v>
      </c>
    </row>
    <row r="86" spans="1:11" ht="16.5" customHeight="1">
      <c r="A86" s="23">
        <v>46347</v>
      </c>
      <c r="B86" s="24" t="s">
        <v>56</v>
      </c>
      <c r="C86" s="16"/>
      <c r="D86" s="16"/>
      <c r="E86" s="22"/>
      <c r="F86" s="25">
        <f t="shared" si="20"/>
        <v>45</v>
      </c>
      <c r="G86" s="26" t="str">
        <f t="shared" si="21"/>
        <v/>
      </c>
      <c r="H86" s="24" t="str">
        <f t="shared" si="22"/>
        <v>미입력</v>
      </c>
      <c r="I86" s="25">
        <f t="shared" si="23"/>
        <v>60</v>
      </c>
      <c r="J86" s="26" t="str">
        <f t="shared" si="24"/>
        <v/>
      </c>
      <c r="K86" s="24" t="str">
        <f t="shared" si="25"/>
        <v>미입력</v>
      </c>
    </row>
    <row r="87" spans="1:11" ht="16.5" customHeight="1">
      <c r="A87" s="27">
        <v>46348</v>
      </c>
      <c r="B87" s="28" t="s">
        <v>58</v>
      </c>
      <c r="C87" s="16"/>
      <c r="D87" s="16"/>
      <c r="E87" s="22"/>
      <c r="F87" s="29">
        <f t="shared" si="20"/>
        <v>45</v>
      </c>
      <c r="G87" s="30" t="str">
        <f t="shared" si="21"/>
        <v/>
      </c>
      <c r="H87" s="28" t="str">
        <f t="shared" si="22"/>
        <v>미입력</v>
      </c>
      <c r="I87" s="29">
        <f t="shared" si="23"/>
        <v>60</v>
      </c>
      <c r="J87" s="30" t="str">
        <f t="shared" si="24"/>
        <v/>
      </c>
      <c r="K87" s="28" t="str">
        <f t="shared" si="25"/>
        <v>미입력</v>
      </c>
    </row>
    <row r="88" spans="1:11" ht="16.5" customHeight="1">
      <c r="A88" s="14">
        <v>46349</v>
      </c>
      <c r="B88" s="15" t="s">
        <v>60</v>
      </c>
      <c r="C88" s="16"/>
      <c r="D88" s="16"/>
      <c r="E88" s="22"/>
      <c r="F88" s="17">
        <f t="shared" si="20"/>
        <v>45</v>
      </c>
      <c r="G88" s="18" t="str">
        <f t="shared" si="21"/>
        <v/>
      </c>
      <c r="H88" s="15" t="str">
        <f t="shared" si="22"/>
        <v>미입력</v>
      </c>
      <c r="I88" s="17">
        <f t="shared" si="23"/>
        <v>60</v>
      </c>
      <c r="J88" s="18" t="str">
        <f t="shared" si="24"/>
        <v/>
      </c>
      <c r="K88" s="15" t="str">
        <f t="shared" si="25"/>
        <v>미입력</v>
      </c>
    </row>
    <row r="89" spans="1:11" ht="16.5" customHeight="1">
      <c r="A89" s="14">
        <v>46350</v>
      </c>
      <c r="B89" s="15" t="s">
        <v>47</v>
      </c>
      <c r="C89" s="16"/>
      <c r="D89" s="16"/>
      <c r="E89" s="22"/>
      <c r="F89" s="17">
        <f t="shared" si="20"/>
        <v>45</v>
      </c>
      <c r="G89" s="18" t="str">
        <f t="shared" si="21"/>
        <v/>
      </c>
      <c r="H89" s="15" t="str">
        <f t="shared" si="22"/>
        <v>미입력</v>
      </c>
      <c r="I89" s="17">
        <f t="shared" si="23"/>
        <v>60</v>
      </c>
      <c r="J89" s="18" t="str">
        <f t="shared" si="24"/>
        <v/>
      </c>
      <c r="K89" s="15" t="str">
        <f t="shared" si="25"/>
        <v>미입력</v>
      </c>
    </row>
    <row r="90" spans="1:11" ht="16.5" customHeight="1">
      <c r="A90" s="14">
        <v>46351</v>
      </c>
      <c r="B90" s="15" t="s">
        <v>49</v>
      </c>
      <c r="C90" s="16"/>
      <c r="D90" s="16"/>
      <c r="E90" s="22"/>
      <c r="F90" s="17">
        <f t="shared" si="20"/>
        <v>45</v>
      </c>
      <c r="G90" s="18" t="str">
        <f t="shared" si="21"/>
        <v/>
      </c>
      <c r="H90" s="15" t="str">
        <f t="shared" si="22"/>
        <v>미입력</v>
      </c>
      <c r="I90" s="17">
        <f t="shared" si="23"/>
        <v>60</v>
      </c>
      <c r="J90" s="18" t="str">
        <f t="shared" si="24"/>
        <v/>
      </c>
      <c r="K90" s="15" t="str">
        <f t="shared" si="25"/>
        <v>미입력</v>
      </c>
    </row>
    <row r="91" spans="1:11" ht="16.5" customHeight="1">
      <c r="A91" s="14">
        <v>46352</v>
      </c>
      <c r="B91" s="15" t="s">
        <v>51</v>
      </c>
      <c r="C91" s="16"/>
      <c r="D91" s="16"/>
      <c r="E91" s="22"/>
      <c r="F91" s="17">
        <f t="shared" si="20"/>
        <v>45</v>
      </c>
      <c r="G91" s="18" t="str">
        <f t="shared" si="21"/>
        <v/>
      </c>
      <c r="H91" s="15" t="str">
        <f t="shared" si="22"/>
        <v>미입력</v>
      </c>
      <c r="I91" s="17">
        <f t="shared" si="23"/>
        <v>60</v>
      </c>
      <c r="J91" s="18" t="str">
        <f t="shared" si="24"/>
        <v/>
      </c>
      <c r="K91" s="15" t="str">
        <f t="shared" si="25"/>
        <v>미입력</v>
      </c>
    </row>
    <row r="92" spans="1:11" ht="16.5" customHeight="1">
      <c r="A92" s="14">
        <v>46353</v>
      </c>
      <c r="B92" s="15" t="s">
        <v>54</v>
      </c>
      <c r="C92" s="16"/>
      <c r="D92" s="16"/>
      <c r="E92" s="22"/>
      <c r="F92" s="17">
        <f t="shared" si="20"/>
        <v>45</v>
      </c>
      <c r="G92" s="18" t="str">
        <f t="shared" si="21"/>
        <v/>
      </c>
      <c r="H92" s="15" t="str">
        <f t="shared" si="22"/>
        <v>미입력</v>
      </c>
      <c r="I92" s="17">
        <f t="shared" si="23"/>
        <v>60</v>
      </c>
      <c r="J92" s="18" t="str">
        <f t="shared" si="24"/>
        <v/>
      </c>
      <c r="K92" s="15" t="str">
        <f t="shared" si="25"/>
        <v>미입력</v>
      </c>
    </row>
    <row r="93" spans="1:11" ht="16.5" customHeight="1">
      <c r="A93" s="23">
        <v>46354</v>
      </c>
      <c r="B93" s="24" t="s">
        <v>56</v>
      </c>
      <c r="C93" s="16"/>
      <c r="D93" s="16"/>
      <c r="E93" s="22"/>
      <c r="F93" s="25">
        <f t="shared" si="20"/>
        <v>45</v>
      </c>
      <c r="G93" s="26" t="str">
        <f t="shared" si="21"/>
        <v/>
      </c>
      <c r="H93" s="24" t="str">
        <f t="shared" si="22"/>
        <v>미입력</v>
      </c>
      <c r="I93" s="25">
        <f t="shared" si="23"/>
        <v>60</v>
      </c>
      <c r="J93" s="26" t="str">
        <f t="shared" si="24"/>
        <v/>
      </c>
      <c r="K93" s="24" t="str">
        <f t="shared" si="25"/>
        <v>미입력</v>
      </c>
    </row>
    <row r="94" spans="1:11" ht="16.5" customHeight="1">
      <c r="A94" s="27">
        <v>46355</v>
      </c>
      <c r="B94" s="28" t="s">
        <v>58</v>
      </c>
      <c r="C94" s="16"/>
      <c r="D94" s="16"/>
      <c r="E94" s="22"/>
      <c r="F94" s="29">
        <f t="shared" si="20"/>
        <v>45</v>
      </c>
      <c r="G94" s="30" t="str">
        <f t="shared" si="21"/>
        <v/>
      </c>
      <c r="H94" s="28" t="str">
        <f t="shared" si="22"/>
        <v>미입력</v>
      </c>
      <c r="I94" s="29">
        <f t="shared" si="23"/>
        <v>60</v>
      </c>
      <c r="J94" s="30" t="str">
        <f t="shared" si="24"/>
        <v/>
      </c>
      <c r="K94" s="28" t="str">
        <f t="shared" si="25"/>
        <v>미입력</v>
      </c>
    </row>
    <row r="95" spans="1:11" ht="16.5" customHeight="1">
      <c r="A95" s="14">
        <v>46356</v>
      </c>
      <c r="B95" s="15" t="s">
        <v>60</v>
      </c>
      <c r="C95" s="16"/>
      <c r="D95" s="16"/>
      <c r="E95" s="22"/>
      <c r="F95" s="17">
        <f t="shared" si="20"/>
        <v>45</v>
      </c>
      <c r="G95" s="18" t="str">
        <f t="shared" si="21"/>
        <v/>
      </c>
      <c r="H95" s="15" t="str">
        <f t="shared" si="22"/>
        <v>미입력</v>
      </c>
      <c r="I95" s="17">
        <f t="shared" si="23"/>
        <v>60</v>
      </c>
      <c r="J95" s="18" t="str">
        <f t="shared" si="24"/>
        <v/>
      </c>
      <c r="K95" s="15" t="str">
        <f t="shared" si="25"/>
        <v>미입력</v>
      </c>
    </row>
    <row r="96" spans="1:11" ht="16.5" customHeight="1">
      <c r="A96" s="14">
        <v>46357</v>
      </c>
      <c r="B96" s="15" t="s">
        <v>47</v>
      </c>
      <c r="C96" s="16"/>
      <c r="D96" s="16"/>
      <c r="E96" s="22"/>
      <c r="F96" s="17">
        <f t="shared" si="20"/>
        <v>45</v>
      </c>
      <c r="G96" s="18" t="str">
        <f t="shared" si="21"/>
        <v/>
      </c>
      <c r="H96" s="15" t="str">
        <f t="shared" si="22"/>
        <v>미입력</v>
      </c>
      <c r="I96" s="17">
        <f t="shared" si="23"/>
        <v>60</v>
      </c>
      <c r="J96" s="18" t="str">
        <f t="shared" si="24"/>
        <v/>
      </c>
      <c r="K96" s="15" t="str">
        <f t="shared" si="25"/>
        <v>미입력</v>
      </c>
    </row>
    <row r="97" spans="1:11" ht="16.5" customHeight="1">
      <c r="A97" s="14">
        <v>46358</v>
      </c>
      <c r="B97" s="15" t="s">
        <v>49</v>
      </c>
      <c r="C97" s="16"/>
      <c r="D97" s="16"/>
      <c r="E97" s="22"/>
      <c r="F97" s="17">
        <f t="shared" si="20"/>
        <v>45</v>
      </c>
      <c r="G97" s="18" t="str">
        <f t="shared" si="21"/>
        <v/>
      </c>
      <c r="H97" s="15" t="str">
        <f t="shared" si="22"/>
        <v>미입력</v>
      </c>
      <c r="I97" s="17">
        <f t="shared" si="23"/>
        <v>60</v>
      </c>
      <c r="J97" s="18" t="str">
        <f t="shared" si="24"/>
        <v/>
      </c>
      <c r="K97" s="15" t="str">
        <f t="shared" si="25"/>
        <v>미입력</v>
      </c>
    </row>
    <row r="98" spans="1:11" ht="16.5" customHeight="1">
      <c r="A98" s="14">
        <v>46359</v>
      </c>
      <c r="B98" s="15" t="s">
        <v>51</v>
      </c>
      <c r="C98" s="16"/>
      <c r="D98" s="16"/>
      <c r="E98" s="22"/>
      <c r="F98" s="17">
        <f t="shared" si="20"/>
        <v>45</v>
      </c>
      <c r="G98" s="18" t="str">
        <f t="shared" si="21"/>
        <v/>
      </c>
      <c r="H98" s="15" t="str">
        <f t="shared" si="22"/>
        <v>미입력</v>
      </c>
      <c r="I98" s="17">
        <f t="shared" si="23"/>
        <v>60</v>
      </c>
      <c r="J98" s="18" t="str">
        <f t="shared" si="24"/>
        <v/>
      </c>
      <c r="K98" s="15" t="str">
        <f t="shared" si="25"/>
        <v>미입력</v>
      </c>
    </row>
    <row r="99" spans="1:11" ht="16.5" customHeight="1">
      <c r="A99" s="14">
        <v>46360</v>
      </c>
      <c r="B99" s="15" t="s">
        <v>54</v>
      </c>
      <c r="C99" s="16"/>
      <c r="D99" s="16"/>
      <c r="E99" s="22"/>
      <c r="F99" s="17">
        <f t="shared" si="20"/>
        <v>45</v>
      </c>
      <c r="G99" s="18" t="str">
        <f t="shared" si="21"/>
        <v/>
      </c>
      <c r="H99" s="15" t="str">
        <f t="shared" si="22"/>
        <v>미입력</v>
      </c>
      <c r="I99" s="17">
        <f t="shared" si="23"/>
        <v>60</v>
      </c>
      <c r="J99" s="18" t="str">
        <f t="shared" si="24"/>
        <v/>
      </c>
      <c r="K99" s="15" t="str">
        <f t="shared" si="25"/>
        <v>미입력</v>
      </c>
    </row>
    <row r="100" spans="1:11" ht="16.5" customHeight="1">
      <c r="A100" s="23">
        <v>46361</v>
      </c>
      <c r="B100" s="24" t="s">
        <v>56</v>
      </c>
      <c r="C100" s="16"/>
      <c r="D100" s="16"/>
      <c r="E100" s="22"/>
      <c r="F100" s="25">
        <f t="shared" si="20"/>
        <v>45</v>
      </c>
      <c r="G100" s="26" t="str">
        <f t="shared" si="21"/>
        <v/>
      </c>
      <c r="H100" s="24" t="str">
        <f t="shared" si="22"/>
        <v>미입력</v>
      </c>
      <c r="I100" s="25">
        <f t="shared" si="23"/>
        <v>60</v>
      </c>
      <c r="J100" s="26" t="str">
        <f t="shared" si="24"/>
        <v/>
      </c>
      <c r="K100" s="24" t="str">
        <f t="shared" si="25"/>
        <v>미입력</v>
      </c>
    </row>
    <row r="101" spans="1:11" ht="16.5" customHeight="1">
      <c r="A101" s="27">
        <v>46362</v>
      </c>
      <c r="B101" s="28" t="s">
        <v>58</v>
      </c>
      <c r="C101" s="16"/>
      <c r="D101" s="16"/>
      <c r="E101" s="22"/>
      <c r="F101" s="29">
        <f t="shared" ref="F101:F126" si="26">IF(OR($E101="오전반차",$E101="오후반차"),$D$2/2,$D$2)</f>
        <v>45</v>
      </c>
      <c r="G101" s="30" t="str">
        <f t="shared" ref="G101:G126" si="27">IF($C101="","",$C101/$F101)</f>
        <v/>
      </c>
      <c r="H101" s="28" t="str">
        <f t="shared" ref="H101:H126" si="28">IF($C101="",IF($E101="","미입력",$E101),IF($C101&gt;=$F101,"달성","미달"))</f>
        <v>미입력</v>
      </c>
      <c r="I101" s="29">
        <f t="shared" ref="I101:I126" si="29">IF(OR($E101="오전반차",$E101="오후반차"),$F$2/2,$F$2)</f>
        <v>60</v>
      </c>
      <c r="J101" s="30" t="str">
        <f t="shared" ref="J101:J126" si="30">IF($D101="","",$D101/$I101)</f>
        <v/>
      </c>
      <c r="K101" s="28" t="str">
        <f t="shared" ref="K101:K126" si="31">IF($D101="",IF($E101="","미입력",$E101),IF($D101&gt;=$I101,"달성","미달"))</f>
        <v>미입력</v>
      </c>
    </row>
    <row r="102" spans="1:11" ht="16.5" customHeight="1">
      <c r="A102" s="14">
        <v>46363</v>
      </c>
      <c r="B102" s="15" t="s">
        <v>60</v>
      </c>
      <c r="C102" s="16"/>
      <c r="D102" s="16"/>
      <c r="E102" s="22"/>
      <c r="F102" s="17">
        <f t="shared" si="26"/>
        <v>45</v>
      </c>
      <c r="G102" s="18" t="str">
        <f t="shared" si="27"/>
        <v/>
      </c>
      <c r="H102" s="15" t="str">
        <f t="shared" si="28"/>
        <v>미입력</v>
      </c>
      <c r="I102" s="17">
        <f t="shared" si="29"/>
        <v>60</v>
      </c>
      <c r="J102" s="18" t="str">
        <f t="shared" si="30"/>
        <v/>
      </c>
      <c r="K102" s="15" t="str">
        <f t="shared" si="31"/>
        <v>미입력</v>
      </c>
    </row>
    <row r="103" spans="1:11" ht="16.5" customHeight="1">
      <c r="A103" s="14">
        <v>46364</v>
      </c>
      <c r="B103" s="15" t="s">
        <v>47</v>
      </c>
      <c r="C103" s="16"/>
      <c r="D103" s="16"/>
      <c r="E103" s="22"/>
      <c r="F103" s="17">
        <f t="shared" si="26"/>
        <v>45</v>
      </c>
      <c r="G103" s="18" t="str">
        <f t="shared" si="27"/>
        <v/>
      </c>
      <c r="H103" s="15" t="str">
        <f t="shared" si="28"/>
        <v>미입력</v>
      </c>
      <c r="I103" s="17">
        <f t="shared" si="29"/>
        <v>60</v>
      </c>
      <c r="J103" s="18" t="str">
        <f t="shared" si="30"/>
        <v/>
      </c>
      <c r="K103" s="15" t="str">
        <f t="shared" si="31"/>
        <v>미입력</v>
      </c>
    </row>
    <row r="104" spans="1:11" ht="16.5" customHeight="1">
      <c r="A104" s="14">
        <v>46365</v>
      </c>
      <c r="B104" s="15" t="s">
        <v>49</v>
      </c>
      <c r="C104" s="16"/>
      <c r="D104" s="16"/>
      <c r="E104" s="22"/>
      <c r="F104" s="17">
        <f t="shared" si="26"/>
        <v>45</v>
      </c>
      <c r="G104" s="18" t="str">
        <f t="shared" si="27"/>
        <v/>
      </c>
      <c r="H104" s="15" t="str">
        <f t="shared" si="28"/>
        <v>미입력</v>
      </c>
      <c r="I104" s="17">
        <f t="shared" si="29"/>
        <v>60</v>
      </c>
      <c r="J104" s="18" t="str">
        <f t="shared" si="30"/>
        <v/>
      </c>
      <c r="K104" s="15" t="str">
        <f t="shared" si="31"/>
        <v>미입력</v>
      </c>
    </row>
    <row r="105" spans="1:11" ht="16.5" customHeight="1">
      <c r="A105" s="14">
        <v>46366</v>
      </c>
      <c r="B105" s="15" t="s">
        <v>51</v>
      </c>
      <c r="C105" s="16"/>
      <c r="D105" s="16"/>
      <c r="E105" s="22"/>
      <c r="F105" s="17">
        <f t="shared" si="26"/>
        <v>45</v>
      </c>
      <c r="G105" s="18" t="str">
        <f t="shared" si="27"/>
        <v/>
      </c>
      <c r="H105" s="15" t="str">
        <f t="shared" si="28"/>
        <v>미입력</v>
      </c>
      <c r="I105" s="17">
        <f t="shared" si="29"/>
        <v>60</v>
      </c>
      <c r="J105" s="18" t="str">
        <f t="shared" si="30"/>
        <v/>
      </c>
      <c r="K105" s="15" t="str">
        <f t="shared" si="31"/>
        <v>미입력</v>
      </c>
    </row>
    <row r="106" spans="1:11" ht="16.5" customHeight="1">
      <c r="A106" s="14">
        <v>46367</v>
      </c>
      <c r="B106" s="15" t="s">
        <v>54</v>
      </c>
      <c r="C106" s="16"/>
      <c r="D106" s="16"/>
      <c r="E106" s="22"/>
      <c r="F106" s="17">
        <f t="shared" si="26"/>
        <v>45</v>
      </c>
      <c r="G106" s="18" t="str">
        <f t="shared" si="27"/>
        <v/>
      </c>
      <c r="H106" s="15" t="str">
        <f t="shared" si="28"/>
        <v>미입력</v>
      </c>
      <c r="I106" s="17">
        <f t="shared" si="29"/>
        <v>60</v>
      </c>
      <c r="J106" s="18" t="str">
        <f t="shared" si="30"/>
        <v/>
      </c>
      <c r="K106" s="15" t="str">
        <f t="shared" si="31"/>
        <v>미입력</v>
      </c>
    </row>
    <row r="107" spans="1:11" ht="16.5" customHeight="1">
      <c r="A107" s="23">
        <v>46368</v>
      </c>
      <c r="B107" s="24" t="s">
        <v>56</v>
      </c>
      <c r="C107" s="16"/>
      <c r="D107" s="16"/>
      <c r="E107" s="22"/>
      <c r="F107" s="25">
        <f t="shared" si="26"/>
        <v>45</v>
      </c>
      <c r="G107" s="26" t="str">
        <f t="shared" si="27"/>
        <v/>
      </c>
      <c r="H107" s="24" t="str">
        <f t="shared" si="28"/>
        <v>미입력</v>
      </c>
      <c r="I107" s="25">
        <f t="shared" si="29"/>
        <v>60</v>
      </c>
      <c r="J107" s="26" t="str">
        <f t="shared" si="30"/>
        <v/>
      </c>
      <c r="K107" s="24" t="str">
        <f t="shared" si="31"/>
        <v>미입력</v>
      </c>
    </row>
    <row r="108" spans="1:11" ht="16.5" customHeight="1">
      <c r="A108" s="27">
        <v>46369</v>
      </c>
      <c r="B108" s="28" t="s">
        <v>58</v>
      </c>
      <c r="C108" s="16"/>
      <c r="D108" s="16"/>
      <c r="E108" s="22"/>
      <c r="F108" s="29">
        <f t="shared" si="26"/>
        <v>45</v>
      </c>
      <c r="G108" s="30" t="str">
        <f t="shared" si="27"/>
        <v/>
      </c>
      <c r="H108" s="28" t="str">
        <f t="shared" si="28"/>
        <v>미입력</v>
      </c>
      <c r="I108" s="29">
        <f t="shared" si="29"/>
        <v>60</v>
      </c>
      <c r="J108" s="30" t="str">
        <f t="shared" si="30"/>
        <v/>
      </c>
      <c r="K108" s="28" t="str">
        <f t="shared" si="31"/>
        <v>미입력</v>
      </c>
    </row>
    <row r="109" spans="1:11" ht="16.5" customHeight="1">
      <c r="A109" s="14">
        <v>46370</v>
      </c>
      <c r="B109" s="15" t="s">
        <v>60</v>
      </c>
      <c r="C109" s="16"/>
      <c r="D109" s="16"/>
      <c r="E109" s="22"/>
      <c r="F109" s="17">
        <f t="shared" si="26"/>
        <v>45</v>
      </c>
      <c r="G109" s="18" t="str">
        <f t="shared" si="27"/>
        <v/>
      </c>
      <c r="H109" s="15" t="str">
        <f t="shared" si="28"/>
        <v>미입력</v>
      </c>
      <c r="I109" s="17">
        <f t="shared" si="29"/>
        <v>60</v>
      </c>
      <c r="J109" s="18" t="str">
        <f t="shared" si="30"/>
        <v/>
      </c>
      <c r="K109" s="15" t="str">
        <f t="shared" si="31"/>
        <v>미입력</v>
      </c>
    </row>
    <row r="110" spans="1:11" ht="16.5" customHeight="1">
      <c r="A110" s="14">
        <v>46371</v>
      </c>
      <c r="B110" s="15" t="s">
        <v>47</v>
      </c>
      <c r="C110" s="16"/>
      <c r="D110" s="16"/>
      <c r="E110" s="22"/>
      <c r="F110" s="17">
        <f t="shared" si="26"/>
        <v>45</v>
      </c>
      <c r="G110" s="18" t="str">
        <f t="shared" si="27"/>
        <v/>
      </c>
      <c r="H110" s="15" t="str">
        <f t="shared" si="28"/>
        <v>미입력</v>
      </c>
      <c r="I110" s="17">
        <f t="shared" si="29"/>
        <v>60</v>
      </c>
      <c r="J110" s="18" t="str">
        <f t="shared" si="30"/>
        <v/>
      </c>
      <c r="K110" s="15" t="str">
        <f t="shared" si="31"/>
        <v>미입력</v>
      </c>
    </row>
    <row r="111" spans="1:11" ht="16.5" customHeight="1">
      <c r="A111" s="14">
        <v>46372</v>
      </c>
      <c r="B111" s="15" t="s">
        <v>49</v>
      </c>
      <c r="C111" s="16"/>
      <c r="D111" s="16"/>
      <c r="E111" s="22"/>
      <c r="F111" s="17">
        <f t="shared" si="26"/>
        <v>45</v>
      </c>
      <c r="G111" s="18" t="str">
        <f t="shared" si="27"/>
        <v/>
      </c>
      <c r="H111" s="15" t="str">
        <f t="shared" si="28"/>
        <v>미입력</v>
      </c>
      <c r="I111" s="17">
        <f t="shared" si="29"/>
        <v>60</v>
      </c>
      <c r="J111" s="18" t="str">
        <f t="shared" si="30"/>
        <v/>
      </c>
      <c r="K111" s="15" t="str">
        <f t="shared" si="31"/>
        <v>미입력</v>
      </c>
    </row>
    <row r="112" spans="1:11" ht="16.5" customHeight="1">
      <c r="A112" s="14">
        <v>46373</v>
      </c>
      <c r="B112" s="15" t="s">
        <v>51</v>
      </c>
      <c r="C112" s="16"/>
      <c r="D112" s="16"/>
      <c r="E112" s="22"/>
      <c r="F112" s="17">
        <f t="shared" si="26"/>
        <v>45</v>
      </c>
      <c r="G112" s="18" t="str">
        <f t="shared" si="27"/>
        <v/>
      </c>
      <c r="H112" s="15" t="str">
        <f t="shared" si="28"/>
        <v>미입력</v>
      </c>
      <c r="I112" s="17">
        <f t="shared" si="29"/>
        <v>60</v>
      </c>
      <c r="J112" s="18" t="str">
        <f t="shared" si="30"/>
        <v/>
      </c>
      <c r="K112" s="15" t="str">
        <f t="shared" si="31"/>
        <v>미입력</v>
      </c>
    </row>
    <row r="113" spans="1:11" ht="16.5" customHeight="1">
      <c r="A113" s="14">
        <v>46374</v>
      </c>
      <c r="B113" s="15" t="s">
        <v>54</v>
      </c>
      <c r="C113" s="16"/>
      <c r="D113" s="16"/>
      <c r="E113" s="22"/>
      <c r="F113" s="17">
        <f t="shared" si="26"/>
        <v>45</v>
      </c>
      <c r="G113" s="18" t="str">
        <f t="shared" si="27"/>
        <v/>
      </c>
      <c r="H113" s="15" t="str">
        <f t="shared" si="28"/>
        <v>미입력</v>
      </c>
      <c r="I113" s="17">
        <f t="shared" si="29"/>
        <v>60</v>
      </c>
      <c r="J113" s="18" t="str">
        <f t="shared" si="30"/>
        <v/>
      </c>
      <c r="K113" s="15" t="str">
        <f t="shared" si="31"/>
        <v>미입력</v>
      </c>
    </row>
    <row r="114" spans="1:11" ht="16.5" customHeight="1">
      <c r="A114" s="23">
        <v>46375</v>
      </c>
      <c r="B114" s="24" t="s">
        <v>56</v>
      </c>
      <c r="C114" s="16"/>
      <c r="D114" s="16"/>
      <c r="E114" s="22"/>
      <c r="F114" s="25">
        <f t="shared" si="26"/>
        <v>45</v>
      </c>
      <c r="G114" s="26" t="str">
        <f t="shared" si="27"/>
        <v/>
      </c>
      <c r="H114" s="24" t="str">
        <f t="shared" si="28"/>
        <v>미입력</v>
      </c>
      <c r="I114" s="25">
        <f t="shared" si="29"/>
        <v>60</v>
      </c>
      <c r="J114" s="26" t="str">
        <f t="shared" si="30"/>
        <v/>
      </c>
      <c r="K114" s="24" t="str">
        <f t="shared" si="31"/>
        <v>미입력</v>
      </c>
    </row>
    <row r="115" spans="1:11" ht="16.5" customHeight="1">
      <c r="A115" s="27">
        <v>46376</v>
      </c>
      <c r="B115" s="28" t="s">
        <v>58</v>
      </c>
      <c r="C115" s="16"/>
      <c r="D115" s="16"/>
      <c r="E115" s="22"/>
      <c r="F115" s="29">
        <f t="shared" si="26"/>
        <v>45</v>
      </c>
      <c r="G115" s="30" t="str">
        <f t="shared" si="27"/>
        <v/>
      </c>
      <c r="H115" s="28" t="str">
        <f t="shared" si="28"/>
        <v>미입력</v>
      </c>
      <c r="I115" s="29">
        <f t="shared" si="29"/>
        <v>60</v>
      </c>
      <c r="J115" s="30" t="str">
        <f t="shared" si="30"/>
        <v/>
      </c>
      <c r="K115" s="28" t="str">
        <f t="shared" si="31"/>
        <v>미입력</v>
      </c>
    </row>
    <row r="116" spans="1:11" ht="16.5" customHeight="1">
      <c r="A116" s="14">
        <v>46377</v>
      </c>
      <c r="B116" s="15" t="s">
        <v>60</v>
      </c>
      <c r="C116" s="16"/>
      <c r="D116" s="16"/>
      <c r="E116" s="22"/>
      <c r="F116" s="17">
        <f t="shared" si="26"/>
        <v>45</v>
      </c>
      <c r="G116" s="18" t="str">
        <f t="shared" si="27"/>
        <v/>
      </c>
      <c r="H116" s="15" t="str">
        <f t="shared" si="28"/>
        <v>미입력</v>
      </c>
      <c r="I116" s="17">
        <f t="shared" si="29"/>
        <v>60</v>
      </c>
      <c r="J116" s="18" t="str">
        <f t="shared" si="30"/>
        <v/>
      </c>
      <c r="K116" s="15" t="str">
        <f t="shared" si="31"/>
        <v>미입력</v>
      </c>
    </row>
    <row r="117" spans="1:11" ht="16.5" customHeight="1">
      <c r="A117" s="14">
        <v>46378</v>
      </c>
      <c r="B117" s="15" t="s">
        <v>47</v>
      </c>
      <c r="C117" s="16"/>
      <c r="D117" s="16"/>
      <c r="E117" s="22"/>
      <c r="F117" s="17">
        <f t="shared" si="26"/>
        <v>45</v>
      </c>
      <c r="G117" s="18" t="str">
        <f t="shared" si="27"/>
        <v/>
      </c>
      <c r="H117" s="15" t="str">
        <f t="shared" si="28"/>
        <v>미입력</v>
      </c>
      <c r="I117" s="17">
        <f t="shared" si="29"/>
        <v>60</v>
      </c>
      <c r="J117" s="18" t="str">
        <f t="shared" si="30"/>
        <v/>
      </c>
      <c r="K117" s="15" t="str">
        <f t="shared" si="31"/>
        <v>미입력</v>
      </c>
    </row>
    <row r="118" spans="1:11" ht="16.5" customHeight="1">
      <c r="A118" s="14">
        <v>46379</v>
      </c>
      <c r="B118" s="15" t="s">
        <v>49</v>
      </c>
      <c r="C118" s="16"/>
      <c r="D118" s="16"/>
      <c r="E118" s="22"/>
      <c r="F118" s="17">
        <f t="shared" si="26"/>
        <v>45</v>
      </c>
      <c r="G118" s="18" t="str">
        <f t="shared" si="27"/>
        <v/>
      </c>
      <c r="H118" s="15" t="str">
        <f t="shared" si="28"/>
        <v>미입력</v>
      </c>
      <c r="I118" s="17">
        <f t="shared" si="29"/>
        <v>60</v>
      </c>
      <c r="J118" s="18" t="str">
        <f t="shared" si="30"/>
        <v/>
      </c>
      <c r="K118" s="15" t="str">
        <f t="shared" si="31"/>
        <v>미입력</v>
      </c>
    </row>
    <row r="119" spans="1:11" ht="16.5" customHeight="1">
      <c r="A119" s="14">
        <v>46380</v>
      </c>
      <c r="B119" s="15" t="s">
        <v>51</v>
      </c>
      <c r="C119" s="16"/>
      <c r="D119" s="16"/>
      <c r="E119" s="22"/>
      <c r="F119" s="17">
        <f t="shared" si="26"/>
        <v>45</v>
      </c>
      <c r="G119" s="18" t="str">
        <f t="shared" si="27"/>
        <v/>
      </c>
      <c r="H119" s="15" t="str">
        <f t="shared" si="28"/>
        <v>미입력</v>
      </c>
      <c r="I119" s="17">
        <f t="shared" si="29"/>
        <v>60</v>
      </c>
      <c r="J119" s="18" t="str">
        <f t="shared" si="30"/>
        <v/>
      </c>
      <c r="K119" s="15" t="str">
        <f t="shared" si="31"/>
        <v>미입력</v>
      </c>
    </row>
    <row r="120" spans="1:11" ht="16.5" customHeight="1">
      <c r="A120" s="14">
        <v>46381</v>
      </c>
      <c r="B120" s="15" t="s">
        <v>54</v>
      </c>
      <c r="C120" s="16"/>
      <c r="D120" s="16"/>
      <c r="E120" s="22"/>
      <c r="F120" s="17">
        <f t="shared" si="26"/>
        <v>45</v>
      </c>
      <c r="G120" s="18" t="str">
        <f t="shared" si="27"/>
        <v/>
      </c>
      <c r="H120" s="15" t="str">
        <f t="shared" si="28"/>
        <v>미입력</v>
      </c>
      <c r="I120" s="17">
        <f t="shared" si="29"/>
        <v>60</v>
      </c>
      <c r="J120" s="18" t="str">
        <f t="shared" si="30"/>
        <v/>
      </c>
      <c r="K120" s="15" t="str">
        <f t="shared" si="31"/>
        <v>미입력</v>
      </c>
    </row>
    <row r="121" spans="1:11" ht="16.5" customHeight="1">
      <c r="A121" s="23">
        <v>46382</v>
      </c>
      <c r="B121" s="24" t="s">
        <v>56</v>
      </c>
      <c r="C121" s="16"/>
      <c r="D121" s="16"/>
      <c r="E121" s="22"/>
      <c r="F121" s="25">
        <f t="shared" si="26"/>
        <v>45</v>
      </c>
      <c r="G121" s="26" t="str">
        <f t="shared" si="27"/>
        <v/>
      </c>
      <c r="H121" s="24" t="str">
        <f t="shared" si="28"/>
        <v>미입력</v>
      </c>
      <c r="I121" s="25">
        <f t="shared" si="29"/>
        <v>60</v>
      </c>
      <c r="J121" s="26" t="str">
        <f t="shared" si="30"/>
        <v/>
      </c>
      <c r="K121" s="24" t="str">
        <f t="shared" si="31"/>
        <v>미입력</v>
      </c>
    </row>
    <row r="122" spans="1:11" ht="16.5" customHeight="1">
      <c r="A122" s="27">
        <v>46383</v>
      </c>
      <c r="B122" s="28" t="s">
        <v>58</v>
      </c>
      <c r="C122" s="16"/>
      <c r="D122" s="16"/>
      <c r="E122" s="22"/>
      <c r="F122" s="29">
        <f t="shared" si="26"/>
        <v>45</v>
      </c>
      <c r="G122" s="30" t="str">
        <f t="shared" si="27"/>
        <v/>
      </c>
      <c r="H122" s="28" t="str">
        <f t="shared" si="28"/>
        <v>미입력</v>
      </c>
      <c r="I122" s="29">
        <f t="shared" si="29"/>
        <v>60</v>
      </c>
      <c r="J122" s="30" t="str">
        <f t="shared" si="30"/>
        <v/>
      </c>
      <c r="K122" s="28" t="str">
        <f t="shared" si="31"/>
        <v>미입력</v>
      </c>
    </row>
    <row r="123" spans="1:11" ht="16.5" customHeight="1">
      <c r="A123" s="14">
        <v>46384</v>
      </c>
      <c r="B123" s="15" t="s">
        <v>60</v>
      </c>
      <c r="C123" s="16"/>
      <c r="D123" s="16"/>
      <c r="E123" s="22"/>
      <c r="F123" s="17">
        <f t="shared" si="26"/>
        <v>45</v>
      </c>
      <c r="G123" s="18" t="str">
        <f t="shared" si="27"/>
        <v/>
      </c>
      <c r="H123" s="15" t="str">
        <f t="shared" si="28"/>
        <v>미입력</v>
      </c>
      <c r="I123" s="17">
        <f t="shared" si="29"/>
        <v>60</v>
      </c>
      <c r="J123" s="18" t="str">
        <f t="shared" si="30"/>
        <v/>
      </c>
      <c r="K123" s="15" t="str">
        <f t="shared" si="31"/>
        <v>미입력</v>
      </c>
    </row>
    <row r="124" spans="1:11" ht="16.5" customHeight="1">
      <c r="A124" s="14">
        <v>46385</v>
      </c>
      <c r="B124" s="15" t="s">
        <v>47</v>
      </c>
      <c r="C124" s="16"/>
      <c r="D124" s="16"/>
      <c r="E124" s="22"/>
      <c r="F124" s="17">
        <f t="shared" si="26"/>
        <v>45</v>
      </c>
      <c r="G124" s="18" t="str">
        <f t="shared" si="27"/>
        <v/>
      </c>
      <c r="H124" s="15" t="str">
        <f t="shared" si="28"/>
        <v>미입력</v>
      </c>
      <c r="I124" s="17">
        <f t="shared" si="29"/>
        <v>60</v>
      </c>
      <c r="J124" s="18" t="str">
        <f t="shared" si="30"/>
        <v/>
      </c>
      <c r="K124" s="15" t="str">
        <f t="shared" si="31"/>
        <v>미입력</v>
      </c>
    </row>
    <row r="125" spans="1:11" ht="16.5" customHeight="1">
      <c r="A125" s="14">
        <v>46386</v>
      </c>
      <c r="B125" s="15" t="s">
        <v>49</v>
      </c>
      <c r="C125" s="16"/>
      <c r="D125" s="16"/>
      <c r="E125" s="22"/>
      <c r="F125" s="17">
        <f t="shared" si="26"/>
        <v>45</v>
      </c>
      <c r="G125" s="18" t="str">
        <f t="shared" si="27"/>
        <v/>
      </c>
      <c r="H125" s="15" t="str">
        <f t="shared" si="28"/>
        <v>미입력</v>
      </c>
      <c r="I125" s="17">
        <f t="shared" si="29"/>
        <v>60</v>
      </c>
      <c r="J125" s="18" t="str">
        <f t="shared" si="30"/>
        <v/>
      </c>
      <c r="K125" s="15" t="str">
        <f t="shared" si="31"/>
        <v>미입력</v>
      </c>
    </row>
    <row r="126" spans="1:11" ht="16.5" customHeight="1">
      <c r="A126" s="14">
        <v>46387</v>
      </c>
      <c r="B126" s="15" t="s">
        <v>51</v>
      </c>
      <c r="C126" s="16"/>
      <c r="D126" s="16"/>
      <c r="E126" s="22"/>
      <c r="F126" s="17">
        <f t="shared" si="26"/>
        <v>45</v>
      </c>
      <c r="G126" s="18" t="str">
        <f t="shared" si="27"/>
        <v/>
      </c>
      <c r="H126" s="15" t="str">
        <f t="shared" si="28"/>
        <v>미입력</v>
      </c>
      <c r="I126" s="17">
        <f t="shared" si="29"/>
        <v>60</v>
      </c>
      <c r="J126" s="18" t="str">
        <f t="shared" si="30"/>
        <v/>
      </c>
      <c r="K126" s="15" t="str">
        <f t="shared" si="31"/>
        <v>미입력</v>
      </c>
    </row>
  </sheetData>
  <mergeCells count="5">
    <mergeCell ref="A1:K1"/>
    <mergeCell ref="M1:X1"/>
    <mergeCell ref="H2:K2"/>
    <mergeCell ref="A3:K3"/>
    <mergeCell ref="M3:X3"/>
  </mergeCells>
  <phoneticPr fontId="19" type="noConversion"/>
  <conditionalFormatting sqref="A5:B126">
    <cfRule type="expression" dxfId="15" priority="14">
      <formula>$A5=TODAY()</formula>
    </cfRule>
  </conditionalFormatting>
  <conditionalFormatting sqref="H5:H126">
    <cfRule type="expression" dxfId="14" priority="2">
      <formula>H5="달성"</formula>
    </cfRule>
    <cfRule type="expression" dxfId="13" priority="3">
      <formula>H5="미달"</formula>
    </cfRule>
    <cfRule type="expression" dxfId="12" priority="4">
      <formula>H5="미입력"</formula>
    </cfRule>
  </conditionalFormatting>
  <conditionalFormatting sqref="K5:K126">
    <cfRule type="expression" dxfId="11" priority="5">
      <formula>K5="달성"</formula>
    </cfRule>
    <cfRule type="expression" dxfId="10" priority="6">
      <formula>K5="미달"</formula>
    </cfRule>
    <cfRule type="expression" dxfId="9" priority="7">
      <formula>K5="미입력"</formula>
    </cfRule>
  </conditionalFormatting>
  <conditionalFormatting sqref="S5:S24">
    <cfRule type="expression" dxfId="8" priority="8">
      <formula>S5="달성"</formula>
    </cfRule>
    <cfRule type="expression" dxfId="7" priority="9">
      <formula>S5="미달"</formula>
    </cfRule>
    <cfRule type="expression" dxfId="6" priority="10">
      <formula>S5="미입력"</formula>
    </cfRule>
  </conditionalFormatting>
  <conditionalFormatting sqref="W5:W24">
    <cfRule type="expression" dxfId="5" priority="11">
      <formula>W5="달성"</formula>
    </cfRule>
    <cfRule type="expression" dxfId="4" priority="12">
      <formula>W5="미달"</formula>
    </cfRule>
    <cfRule type="expression" dxfId="3" priority="13">
      <formula>W5="미입력"</formula>
    </cfRule>
  </conditionalFormatting>
  <dataValidations count="1">
    <dataValidation type="list" allowBlank="1" sqref="E5:E126" xr:uid="{00000000-0002-0000-0600-000000000000}">
      <formula1>"휴무,연차,오전반차,오후반차,입사전,기타"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M122"/>
  <sheetViews>
    <sheetView tabSelected="1" zoomScaleNormal="100" workbookViewId="0">
      <pane xSplit="3" ySplit="3" topLeftCell="D29" activePane="bottomRight" state="frozen"/>
      <selection pane="topRight" activeCell="D1" sqref="D1"/>
      <selection pane="bottomLeft" activeCell="A4" sqref="A4"/>
      <selection pane="bottomRight" activeCell="N30" sqref="N30"/>
    </sheetView>
  </sheetViews>
  <sheetFormatPr defaultColWidth="8.7109375" defaultRowHeight="15"/>
  <cols>
    <col min="1" max="2" width="12" customWidth="1"/>
    <col min="3" max="3" width="10" customWidth="1"/>
    <col min="4" max="5" width="10" style="39" customWidth="1"/>
    <col min="6" max="6" width="14" style="39" customWidth="1"/>
    <col min="7" max="7" width="11" style="39" customWidth="1"/>
    <col min="8" max="8" width="13" customWidth="1"/>
    <col min="9" max="9" width="10" style="39" customWidth="1"/>
    <col min="10" max="10" width="14" style="39" customWidth="1"/>
    <col min="11" max="11" width="11" style="39" customWidth="1"/>
    <col min="12" max="12" width="13" customWidth="1"/>
    <col min="13" max="13" width="70" style="39" customWidth="1"/>
  </cols>
  <sheetData>
    <row r="1" spans="1:13" ht="20.25">
      <c r="A1" s="58" t="s">
        <v>97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>
      <c r="A2" s="61" t="s">
        <v>125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>
      <c r="A3" s="10" t="s">
        <v>41</v>
      </c>
      <c r="B3" s="10" t="s">
        <v>98</v>
      </c>
      <c r="C3" s="10" t="s">
        <v>99</v>
      </c>
      <c r="D3" s="34" t="s">
        <v>26</v>
      </c>
      <c r="E3" s="34" t="s">
        <v>28</v>
      </c>
      <c r="F3" s="34" t="s">
        <v>44</v>
      </c>
      <c r="G3" s="34" t="s">
        <v>37</v>
      </c>
      <c r="H3" s="10" t="s">
        <v>38</v>
      </c>
      <c r="I3" s="34" t="s">
        <v>29</v>
      </c>
      <c r="J3" s="34" t="s">
        <v>45</v>
      </c>
      <c r="K3" s="34" t="s">
        <v>39</v>
      </c>
      <c r="L3" s="10" t="s">
        <v>40</v>
      </c>
      <c r="M3" s="34" t="s">
        <v>46</v>
      </c>
    </row>
    <row r="4" spans="1:13" ht="14.25" customHeight="1">
      <c r="A4" s="62" t="s">
        <v>48</v>
      </c>
      <c r="B4" s="62" t="s">
        <v>100</v>
      </c>
      <c r="C4" s="15" t="s">
        <v>101</v>
      </c>
      <c r="D4" s="35" t="str">
        <f>이재희!$B$2</f>
        <v>1년 이상</v>
      </c>
      <c r="E4" s="36">
        <f>이재희!P5</f>
        <v>50</v>
      </c>
      <c r="F4" s="37">
        <f>이재희!Q5</f>
        <v>37</v>
      </c>
      <c r="G4" s="38">
        <f t="shared" ref="G4:G34" si="0">IF(OR($F4="",$E4=""),"",$F4/$E4)</f>
        <v>0.74</v>
      </c>
      <c r="H4" s="32" t="str">
        <f>이재희!S5</f>
        <v>미달</v>
      </c>
      <c r="I4" s="36">
        <f>이재희!T5</f>
        <v>65</v>
      </c>
      <c r="J4" s="37">
        <f>이재희!U5</f>
        <v>62.2</v>
      </c>
      <c r="K4" s="38">
        <f t="shared" ref="K4:K34" si="1">IF(OR($J4="",$I4=""),"",$J4/$I4)</f>
        <v>0.95692307692307699</v>
      </c>
      <c r="L4" s="32" t="str">
        <f>이재희!W5</f>
        <v>미달</v>
      </c>
      <c r="M4" s="40" t="str">
        <f>IF(이재희!X5="","",이재희!X5)</f>
        <v>/</v>
      </c>
    </row>
    <row r="5" spans="1:13" ht="14.25" customHeight="1">
      <c r="A5" s="62"/>
      <c r="B5" s="62"/>
      <c r="C5" s="15" t="s">
        <v>102</v>
      </c>
      <c r="D5" s="35" t="str">
        <f>김가은!$B$2</f>
        <v>1년 이상</v>
      </c>
      <c r="E5" s="36" t="str">
        <f>김가은!P5</f>
        <v/>
      </c>
      <c r="F5" s="37" t="str">
        <f>김가은!Q5</f>
        <v/>
      </c>
      <c r="G5" s="38" t="str">
        <f t="shared" si="0"/>
        <v/>
      </c>
      <c r="H5" s="32" t="str">
        <f>김가은!S5</f>
        <v>미입력</v>
      </c>
      <c r="I5" s="36" t="str">
        <f>김가은!T5</f>
        <v/>
      </c>
      <c r="J5" s="37" t="str">
        <f>김가은!U5</f>
        <v/>
      </c>
      <c r="K5" s="38" t="str">
        <f t="shared" si="1"/>
        <v/>
      </c>
      <c r="L5" s="32" t="str">
        <f>김가은!W5</f>
        <v>미입력</v>
      </c>
      <c r="M5" s="40" t="str">
        <f>IF(김가은!X5="","",김가은!X5)</f>
        <v/>
      </c>
    </row>
    <row r="6" spans="1:13" ht="14.25" customHeight="1">
      <c r="A6" s="62"/>
      <c r="B6" s="62"/>
      <c r="C6" s="15" t="s">
        <v>103</v>
      </c>
      <c r="D6" s="35" t="str">
        <f>김보혜!$B$2</f>
        <v>1년 이상</v>
      </c>
      <c r="E6" s="36">
        <f>김보혜!P5</f>
        <v>50</v>
      </c>
      <c r="F6" s="37">
        <f>김보혜!Q5</f>
        <v>55.5</v>
      </c>
      <c r="G6" s="38">
        <f t="shared" si="0"/>
        <v>1.1100000000000001</v>
      </c>
      <c r="H6" s="32" t="str">
        <f>김보혜!S5</f>
        <v>달성</v>
      </c>
      <c r="I6" s="36">
        <f>김보혜!T5</f>
        <v>65</v>
      </c>
      <c r="J6" s="37">
        <f>김보혜!U5</f>
        <v>48.5</v>
      </c>
      <c r="K6" s="38">
        <f t="shared" si="1"/>
        <v>0.74615384615384617</v>
      </c>
      <c r="L6" s="32" t="str">
        <f>김보혜!W5</f>
        <v>미달</v>
      </c>
      <c r="M6" s="40" t="str">
        <f>IF(김보혜!X5="","",김보혜!X5)</f>
        <v>파란 업무폰 및 입금폰 교육 병행으로 인해 수신 및 접수량이 다소 낮게 나타남. 교육 업무를 고려하되 일반 업무 수신 및 접수량도 함께 관리할 수 있도록 피드백</v>
      </c>
    </row>
    <row r="7" spans="1:13" ht="14.25" customHeight="1">
      <c r="A7" s="62"/>
      <c r="B7" s="62"/>
      <c r="C7" s="15" t="s">
        <v>104</v>
      </c>
      <c r="D7" s="35" t="str">
        <f>박언정!$B$2</f>
        <v>1년 미만</v>
      </c>
      <c r="E7" s="36">
        <f>박언정!P5</f>
        <v>45</v>
      </c>
      <c r="F7" s="37">
        <f>박언정!Q5</f>
        <v>41.4</v>
      </c>
      <c r="G7" s="38">
        <f t="shared" si="0"/>
        <v>0.91999999999999993</v>
      </c>
      <c r="H7" s="32" t="str">
        <f>박언정!S5</f>
        <v>미달</v>
      </c>
      <c r="I7" s="36">
        <f>박언정!T5</f>
        <v>60</v>
      </c>
      <c r="J7" s="37">
        <f>박언정!U5</f>
        <v>63</v>
      </c>
      <c r="K7" s="38">
        <f t="shared" si="1"/>
        <v>1.05</v>
      </c>
      <c r="L7" s="32" t="str">
        <f>박언정!W5</f>
        <v>달성</v>
      </c>
      <c r="M7" s="40" t="str">
        <f>IF(박언정!X5="","",박언정!X5)</f>
        <v>주간 수신 및 접수 실적이 대체적으로 양호하게 이루어지고 있음. 현재 업무량을 안정적으로 유지할 수 있도록 지속 관리</v>
      </c>
    </row>
    <row r="8" spans="1:13" ht="14.25" customHeight="1">
      <c r="A8" s="62"/>
      <c r="B8" s="62"/>
      <c r="C8" s="15" t="s">
        <v>105</v>
      </c>
      <c r="D8" s="35" t="str">
        <f>강아름!$B$2</f>
        <v>1년 미만</v>
      </c>
      <c r="E8" s="36">
        <f>강아름!P5</f>
        <v>45</v>
      </c>
      <c r="F8" s="37">
        <f>강아름!Q5</f>
        <v>33.4</v>
      </c>
      <c r="G8" s="38">
        <f t="shared" si="0"/>
        <v>0.74222222222222223</v>
      </c>
      <c r="H8" s="32" t="str">
        <f>강아름!S5</f>
        <v>미달</v>
      </c>
      <c r="I8" s="36">
        <f>강아름!T5</f>
        <v>60</v>
      </c>
      <c r="J8" s="37">
        <f>강아름!U5</f>
        <v>54.8</v>
      </c>
      <c r="K8" s="38">
        <f t="shared" si="1"/>
        <v>0.91333333333333333</v>
      </c>
      <c r="L8" s="32" t="str">
        <f>강아름!W5</f>
        <v>미달</v>
      </c>
      <c r="M8" s="40" t="str">
        <f>IF(강아름!X5="","",강아름!X5)</f>
        <v>수신량이 목표 대비 부족하며, 수신량에 비해 발신량이 높은 것으로 확인됨. 수신콜 응대 비중을 높이고 발신 업무와의 균형을 맞출 수 있도록 피드백</v>
      </c>
    </row>
    <row r="9" spans="1:13" ht="14.25" customHeight="1">
      <c r="A9" s="62"/>
      <c r="B9" s="62"/>
      <c r="C9" s="15" t="s">
        <v>106</v>
      </c>
      <c r="D9" s="35" t="str">
        <f>정민지!$B$2</f>
        <v>1년 미만</v>
      </c>
      <c r="E9" s="36" t="str">
        <f>정민지!P5</f>
        <v/>
      </c>
      <c r="F9" s="37" t="str">
        <f>정민지!Q5</f>
        <v/>
      </c>
      <c r="G9" s="38" t="str">
        <f t="shared" si="0"/>
        <v/>
      </c>
      <c r="H9" s="32" t="str">
        <f>정민지!S5</f>
        <v>미입력</v>
      </c>
      <c r="I9" s="36" t="str">
        <f>정민지!T5</f>
        <v/>
      </c>
      <c r="J9" s="37" t="str">
        <f>정민지!U5</f>
        <v/>
      </c>
      <c r="K9" s="38" t="str">
        <f t="shared" si="1"/>
        <v/>
      </c>
      <c r="L9" s="32" t="str">
        <f>정민지!W5</f>
        <v>미입력</v>
      </c>
      <c r="M9" s="40" t="str">
        <f>IF(정민지!X5="","",정민지!X5)</f>
        <v/>
      </c>
    </row>
    <row r="10" spans="1:13" ht="14.25" customHeight="1">
      <c r="A10" s="62" t="s">
        <v>50</v>
      </c>
      <c r="B10" s="62" t="s">
        <v>107</v>
      </c>
      <c r="C10" s="15" t="s">
        <v>101</v>
      </c>
      <c r="D10" s="35" t="str">
        <f>이재희!$B$2</f>
        <v>1년 이상</v>
      </c>
      <c r="E10" s="36">
        <f>이재희!P6</f>
        <v>50</v>
      </c>
      <c r="F10" s="37">
        <f>이재희!Q6</f>
        <v>41.8</v>
      </c>
      <c r="G10" s="38">
        <f t="shared" si="0"/>
        <v>0.83599999999999997</v>
      </c>
      <c r="H10" s="32" t="str">
        <f>이재희!S6</f>
        <v>미달</v>
      </c>
      <c r="I10" s="36">
        <f>이재희!T6</f>
        <v>65</v>
      </c>
      <c r="J10" s="37">
        <f>이재희!U6</f>
        <v>54</v>
      </c>
      <c r="K10" s="38">
        <f t="shared" si="1"/>
        <v>0.83076923076923082</v>
      </c>
      <c r="L10" s="32" t="str">
        <f>이재희!W6</f>
        <v>미달</v>
      </c>
      <c r="M10" s="40" t="str">
        <f>IF(이재희!X6="","",이재희!X6)</f>
        <v>/</v>
      </c>
    </row>
    <row r="11" spans="1:13" ht="14.25" customHeight="1">
      <c r="A11" s="62"/>
      <c r="B11" s="62"/>
      <c r="C11" s="15" t="s">
        <v>102</v>
      </c>
      <c r="D11" s="35" t="str">
        <f>김가은!$B$2</f>
        <v>1년 이상</v>
      </c>
      <c r="E11" s="36" t="str">
        <f>김가은!P6</f>
        <v/>
      </c>
      <c r="F11" s="37" t="str">
        <f>김가은!Q6</f>
        <v/>
      </c>
      <c r="G11" s="38" t="str">
        <f t="shared" si="0"/>
        <v/>
      </c>
      <c r="H11" s="32" t="str">
        <f>김가은!S6</f>
        <v>미입력</v>
      </c>
      <c r="I11" s="36" t="str">
        <f>김가은!T6</f>
        <v/>
      </c>
      <c r="J11" s="37" t="str">
        <f>김가은!U6</f>
        <v/>
      </c>
      <c r="K11" s="38" t="str">
        <f t="shared" si="1"/>
        <v/>
      </c>
      <c r="L11" s="32" t="str">
        <f>김가은!W6</f>
        <v>미입력</v>
      </c>
      <c r="M11" s="40" t="str">
        <f>IF(김가은!X6="","",김가은!X6)</f>
        <v/>
      </c>
    </row>
    <row r="12" spans="1:13" ht="14.25" customHeight="1">
      <c r="A12" s="62"/>
      <c r="B12" s="62"/>
      <c r="C12" s="15" t="s">
        <v>103</v>
      </c>
      <c r="D12" s="35" t="str">
        <f>김보혜!$B$2</f>
        <v>1년 이상</v>
      </c>
      <c r="E12" s="36">
        <f>김보혜!P6</f>
        <v>50</v>
      </c>
      <c r="F12" s="37">
        <f>김보혜!Q6</f>
        <v>57.333333333333336</v>
      </c>
      <c r="G12" s="38">
        <f t="shared" si="0"/>
        <v>1.1466666666666667</v>
      </c>
      <c r="H12" s="32" t="str">
        <f>김보혜!S6</f>
        <v>달성</v>
      </c>
      <c r="I12" s="36">
        <f>김보혜!T6</f>
        <v>65</v>
      </c>
      <c r="J12" s="37">
        <f>김보혜!U6</f>
        <v>51.166666666666664</v>
      </c>
      <c r="K12" s="38">
        <f t="shared" si="1"/>
        <v>0.78717948717948716</v>
      </c>
      <c r="L12" s="32" t="str">
        <f>김보혜!W6</f>
        <v>미달</v>
      </c>
      <c r="M12" s="40" t="str">
        <f>IF(김보혜!X6="","",김보혜!X6)</f>
        <v>수신량은 전주 대비 대체적으로 상승하였으나, 파란업무가 아직 익숙하지 않아 접수 처리 시 다소 시간이 소요되는 것으로 확인됨. 파란업무 처리 과정에 대한 지속적인 업무 공유 및 피드백을 통해 처리 속도를 향상할 수 있도록 관리 예정.</v>
      </c>
    </row>
    <row r="13" spans="1:13" ht="14.25" customHeight="1">
      <c r="A13" s="62"/>
      <c r="B13" s="62"/>
      <c r="C13" s="15" t="s">
        <v>104</v>
      </c>
      <c r="D13" s="35" t="str">
        <f>박언정!$B$2</f>
        <v>1년 미만</v>
      </c>
      <c r="E13" s="36">
        <f>박언정!P6</f>
        <v>45</v>
      </c>
      <c r="F13" s="37">
        <f>박언정!Q6</f>
        <v>47.333333333333336</v>
      </c>
      <c r="G13" s="38">
        <f t="shared" si="0"/>
        <v>1.0518518518518518</v>
      </c>
      <c r="H13" s="32" t="str">
        <f>박언정!S6</f>
        <v>달성</v>
      </c>
      <c r="I13" s="36">
        <f>박언정!T6</f>
        <v>60</v>
      </c>
      <c r="J13" s="37">
        <f>박언정!U6</f>
        <v>69.666666666666671</v>
      </c>
      <c r="K13" s="38">
        <f t="shared" si="1"/>
        <v>1.1611111111111112</v>
      </c>
      <c r="L13" s="32" t="str">
        <f>박언정!W6</f>
        <v>달성</v>
      </c>
      <c r="M13" s="40" t="str">
        <f>IF(박언정!X6="","",박언정!X6)</f>
        <v>수신 및 접수량이 안정적으로 유지되고 있으며, 현재 실적 수준을 지속적으로 유지할 수 있도록 관리 예정</v>
      </c>
    </row>
    <row r="14" spans="1:13" ht="14.25" customHeight="1">
      <c r="A14" s="62"/>
      <c r="B14" s="62"/>
      <c r="C14" s="15" t="s">
        <v>105</v>
      </c>
      <c r="D14" s="35" t="str">
        <f>강아름!$B$2</f>
        <v>1년 미만</v>
      </c>
      <c r="E14" s="36">
        <f>강아름!P6</f>
        <v>45</v>
      </c>
      <c r="F14" s="37">
        <f>강아름!Q6</f>
        <v>26.8</v>
      </c>
      <c r="G14" s="38">
        <f t="shared" si="0"/>
        <v>0.59555555555555562</v>
      </c>
      <c r="H14" s="32" t="str">
        <f>강아름!S6</f>
        <v>미달</v>
      </c>
      <c r="I14" s="36">
        <f>강아름!T6</f>
        <v>60</v>
      </c>
      <c r="J14" s="37">
        <f>강아름!U6</f>
        <v>65.599999999999994</v>
      </c>
      <c r="K14" s="38">
        <f t="shared" si="1"/>
        <v>1.0933333333333333</v>
      </c>
      <c r="L14" s="32" t="str">
        <f>강아름!W6</f>
        <v>달성</v>
      </c>
      <c r="M14" s="40" t="str">
        <f>IF(강아름!X6="","",강아름!X6)</f>
        <v>금~일요일 코로나로 인해 목소리가 나오지 않아 업무폰 및 문자 접수 위주로 업무가 진행되어 수신량은 다소 부족하였으나, 접수량은 목표를 달성함. 정상적인 통화 업무가 가능해진 이후 수신량도 회복할 수 있도록 지속적으로 점검 예정.</v>
      </c>
    </row>
    <row r="15" spans="1:13" ht="14.25" customHeight="1">
      <c r="A15" s="62"/>
      <c r="B15" s="62"/>
      <c r="C15" s="15" t="s">
        <v>106</v>
      </c>
      <c r="D15" s="35" t="str">
        <f>정민지!$B$2</f>
        <v>1년 미만</v>
      </c>
      <c r="E15" s="36" t="str">
        <f>정민지!P6</f>
        <v/>
      </c>
      <c r="F15" s="37" t="str">
        <f>정민지!Q6</f>
        <v/>
      </c>
      <c r="G15" s="38" t="str">
        <f t="shared" si="0"/>
        <v/>
      </c>
      <c r="H15" s="32" t="str">
        <f>정민지!S6</f>
        <v>미입력</v>
      </c>
      <c r="I15" s="36" t="str">
        <f>정민지!T6</f>
        <v/>
      </c>
      <c r="J15" s="37" t="str">
        <f>정민지!U6</f>
        <v/>
      </c>
      <c r="K15" s="38" t="str">
        <f t="shared" si="1"/>
        <v/>
      </c>
      <c r="L15" s="32" t="str">
        <f>정민지!W6</f>
        <v>미입력</v>
      </c>
      <c r="M15" s="40" t="str">
        <f>IF(정민지!X6="","",정민지!X6)</f>
        <v/>
      </c>
    </row>
    <row r="16" spans="1:13" ht="14.25" customHeight="1">
      <c r="A16" s="62" t="s">
        <v>53</v>
      </c>
      <c r="B16" s="62" t="s">
        <v>108</v>
      </c>
      <c r="C16" s="15" t="s">
        <v>101</v>
      </c>
      <c r="D16" s="35" t="str">
        <f>이재희!$B$2</f>
        <v>1년 이상</v>
      </c>
      <c r="E16" s="36">
        <f>이재희!P7</f>
        <v>50</v>
      </c>
      <c r="F16" s="37">
        <f>이재희!Q7</f>
        <v>30.5</v>
      </c>
      <c r="G16" s="38">
        <f t="shared" si="0"/>
        <v>0.61</v>
      </c>
      <c r="H16" s="32" t="str">
        <f>이재희!S7</f>
        <v>미달</v>
      </c>
      <c r="I16" s="36">
        <f>이재희!T7</f>
        <v>65</v>
      </c>
      <c r="J16" s="37">
        <f>이재희!U7</f>
        <v>57.333333333333336</v>
      </c>
      <c r="K16" s="38">
        <f t="shared" si="1"/>
        <v>0.88205128205128214</v>
      </c>
      <c r="L16" s="32" t="str">
        <f>이재희!W7</f>
        <v>미달</v>
      </c>
      <c r="M16" s="40" t="str">
        <f>IF(이재희!X7="","",이재희!X7)</f>
        <v>/</v>
      </c>
    </row>
    <row r="17" spans="1:13" ht="14.25" customHeight="1">
      <c r="A17" s="62"/>
      <c r="B17" s="62"/>
      <c r="C17" s="15" t="s">
        <v>102</v>
      </c>
      <c r="D17" s="35" t="str">
        <f>김가은!$B$2</f>
        <v>1년 이상</v>
      </c>
      <c r="E17" s="36" t="str">
        <f>김가은!P7</f>
        <v/>
      </c>
      <c r="F17" s="37" t="str">
        <f>김가은!Q7</f>
        <v/>
      </c>
      <c r="G17" s="38" t="str">
        <f t="shared" si="0"/>
        <v/>
      </c>
      <c r="H17" s="32" t="str">
        <f>김가은!S7</f>
        <v>미입력</v>
      </c>
      <c r="I17" s="36" t="str">
        <f>김가은!T7</f>
        <v/>
      </c>
      <c r="J17" s="37" t="str">
        <f>김가은!U7</f>
        <v/>
      </c>
      <c r="K17" s="38" t="str">
        <f t="shared" si="1"/>
        <v/>
      </c>
      <c r="L17" s="32" t="str">
        <f>김가은!W7</f>
        <v>미입력</v>
      </c>
      <c r="M17" s="40" t="str">
        <f>IF(김가은!X7="","",김가은!X7)</f>
        <v/>
      </c>
    </row>
    <row r="18" spans="1:13" ht="14.25" customHeight="1">
      <c r="A18" s="62"/>
      <c r="B18" s="62"/>
      <c r="C18" s="15" t="s">
        <v>103</v>
      </c>
      <c r="D18" s="35" t="str">
        <f>김보혜!$B$2</f>
        <v>1년 이상</v>
      </c>
      <c r="E18" s="36">
        <f>김보혜!P7</f>
        <v>50</v>
      </c>
      <c r="F18" s="37">
        <f>김보혜!Q7</f>
        <v>48.2</v>
      </c>
      <c r="G18" s="38">
        <f t="shared" si="0"/>
        <v>0.96400000000000008</v>
      </c>
      <c r="H18" s="32" t="str">
        <f>김보혜!S7</f>
        <v>미달</v>
      </c>
      <c r="I18" s="36">
        <f>김보혜!T7</f>
        <v>65</v>
      </c>
      <c r="J18" s="37">
        <f>김보혜!U7</f>
        <v>51.6</v>
      </c>
      <c r="K18" s="38">
        <f t="shared" si="1"/>
        <v>0.79384615384615387</v>
      </c>
      <c r="L18" s="32" t="str">
        <f>김보혜!W7</f>
        <v>미달</v>
      </c>
      <c r="M18" s="40" t="str">
        <f>IF(김보혜!X7="","",김보혜!X7)</f>
        <v>전주 대비 수신량은 감소하였으며 접수량은 전주와 비슷한 수준으로 유지되었습니다. 접수량은 안정적으로 유지되고 있으나 수신량이 목표에 미치지 못하고 있어 수신 응대 비중을 높일 수 있도록 관리하도록 피드백</v>
      </c>
    </row>
    <row r="19" spans="1:13" ht="14.25" customHeight="1">
      <c r="A19" s="62"/>
      <c r="B19" s="62"/>
      <c r="C19" s="15" t="s">
        <v>104</v>
      </c>
      <c r="D19" s="35" t="str">
        <f>박언정!$B$2</f>
        <v>1년 미만</v>
      </c>
      <c r="E19" s="36">
        <f>박언정!P7</f>
        <v>45</v>
      </c>
      <c r="F19" s="37">
        <f>박언정!Q7</f>
        <v>40</v>
      </c>
      <c r="G19" s="38">
        <f t="shared" si="0"/>
        <v>0.88888888888888884</v>
      </c>
      <c r="H19" s="32" t="str">
        <f>박언정!S7</f>
        <v>미달</v>
      </c>
      <c r="I19" s="36">
        <f>박언정!T7</f>
        <v>60</v>
      </c>
      <c r="J19" s="37">
        <f>박언정!U7</f>
        <v>53.5</v>
      </c>
      <c r="K19" s="38">
        <f t="shared" si="1"/>
        <v>0.89166666666666672</v>
      </c>
      <c r="L19" s="32" t="str">
        <f>박언정!W7</f>
        <v>미달</v>
      </c>
      <c r="M19" s="40" t="str">
        <f>IF(박언정!X7="","",박언정!X7)</f>
        <v>전주 대비 수신 및 접수량이 모두 감소하였습니다. 업무량이 안정적으로 유지될 수 있도록 수신·접수 실적을 지속적으로 점검 및 피드백</v>
      </c>
    </row>
    <row r="20" spans="1:13" ht="14.25" customHeight="1">
      <c r="A20" s="62"/>
      <c r="B20" s="62"/>
      <c r="C20" s="15" t="s">
        <v>105</v>
      </c>
      <c r="D20" s="35" t="str">
        <f>강아름!$B$2</f>
        <v>1년 미만</v>
      </c>
      <c r="E20" s="36">
        <f>강아름!P7</f>
        <v>45</v>
      </c>
      <c r="F20" s="37">
        <f>강아름!Q7</f>
        <v>38.799999999999997</v>
      </c>
      <c r="G20" s="38">
        <f t="shared" si="0"/>
        <v>0.86222222222222211</v>
      </c>
      <c r="H20" s="32" t="str">
        <f>강아름!S7</f>
        <v>미달</v>
      </c>
      <c r="I20" s="36">
        <f>강아름!T7</f>
        <v>60</v>
      </c>
      <c r="J20" s="37">
        <f>강아름!U7</f>
        <v>66.8</v>
      </c>
      <c r="K20" s="38">
        <f t="shared" si="1"/>
        <v>1.1133333333333333</v>
      </c>
      <c r="L20" s="32" t="str">
        <f>강아름!W7</f>
        <v>달성</v>
      </c>
      <c r="M20" s="40" t="str">
        <f>IF(강아름!X7="","",강아름!X7)</f>
        <v>전주 대비 수신량과 접수량이 모두 상승하였으며, 접수량은 목표를 달성하였습니다. 다만 수신량은 여전히 목표에 미치지 못하고 있어 수신 응대 비중을 높일 수 있도록 발신관리 지속적으로 관리하도록 피드백</v>
      </c>
    </row>
    <row r="21" spans="1:13" ht="14.25" customHeight="1">
      <c r="A21" s="62"/>
      <c r="B21" s="62"/>
      <c r="C21" s="15" t="s">
        <v>106</v>
      </c>
      <c r="D21" s="35" t="str">
        <f>정민지!$B$2</f>
        <v>1년 미만</v>
      </c>
      <c r="E21" s="36">
        <f>정민지!P7</f>
        <v>45</v>
      </c>
      <c r="F21" s="37">
        <f>정민지!Q7</f>
        <v>88.4</v>
      </c>
      <c r="G21" s="38">
        <f t="shared" si="0"/>
        <v>1.9644444444444447</v>
      </c>
      <c r="H21" s="32" t="str">
        <f>정민지!S7</f>
        <v>달성</v>
      </c>
      <c r="I21" s="36">
        <f>정민지!T7</f>
        <v>60</v>
      </c>
      <c r="J21" s="37">
        <f>정민지!U7</f>
        <v>42.2</v>
      </c>
      <c r="K21" s="38">
        <f t="shared" si="1"/>
        <v>0.70333333333333337</v>
      </c>
      <c r="L21" s="32" t="str">
        <f>정민지!W7</f>
        <v>미달</v>
      </c>
      <c r="M21" s="40" t="str">
        <f>IF(정민지!X7="","",정민지!X7)</f>
        <v>수신량은 목표를 달성하며 안정적인 모습을 보였습니다. 초기 업무 적응을 고려하면서 접수 처리 속도와 정확도를 높일 수 있도록 지속적으로 교육 및 피드백진행</v>
      </c>
    </row>
    <row r="22" spans="1:13" ht="14.25" customHeight="1">
      <c r="A22" s="62" t="s">
        <v>55</v>
      </c>
      <c r="B22" s="62" t="s">
        <v>109</v>
      </c>
      <c r="C22" s="15" t="s">
        <v>101</v>
      </c>
      <c r="D22" s="35" t="str">
        <f>이재희!$B$2</f>
        <v>1년 이상</v>
      </c>
      <c r="E22" s="36">
        <f>이재희!P8</f>
        <v>50</v>
      </c>
      <c r="F22" s="37">
        <f>이재희!Q8</f>
        <v>17.399999999999999</v>
      </c>
      <c r="G22" s="38">
        <f t="shared" si="0"/>
        <v>0.34799999999999998</v>
      </c>
      <c r="H22" s="32" t="str">
        <f>이재희!S8</f>
        <v>미달</v>
      </c>
      <c r="I22" s="36">
        <f>이재희!T8</f>
        <v>65</v>
      </c>
      <c r="J22" s="37">
        <f>이재희!U8</f>
        <v>32.4</v>
      </c>
      <c r="K22" s="38">
        <f t="shared" si="1"/>
        <v>0.49846153846153846</v>
      </c>
      <c r="L22" s="32" t="str">
        <f>이재희!W8</f>
        <v>미달</v>
      </c>
      <c r="M22" s="40" t="str">
        <f>IF(이재희!X8="","",이재희!X8)</f>
        <v>/</v>
      </c>
    </row>
    <row r="23" spans="1:13" ht="14.25" customHeight="1">
      <c r="A23" s="62"/>
      <c r="B23" s="62"/>
      <c r="C23" s="15" t="s">
        <v>102</v>
      </c>
      <c r="D23" s="35" t="str">
        <f>김가은!$B$2</f>
        <v>1년 이상</v>
      </c>
      <c r="E23" s="36" t="str">
        <f>김가은!P8</f>
        <v/>
      </c>
      <c r="F23" s="37" t="str">
        <f>김가은!Q8</f>
        <v/>
      </c>
      <c r="G23" s="38" t="str">
        <f t="shared" si="0"/>
        <v/>
      </c>
      <c r="H23" s="32" t="str">
        <f>김가은!S8</f>
        <v>미입력</v>
      </c>
      <c r="I23" s="36" t="str">
        <f>김가은!T8</f>
        <v/>
      </c>
      <c r="J23" s="37" t="str">
        <f>김가은!U8</f>
        <v/>
      </c>
      <c r="K23" s="38" t="str">
        <f t="shared" si="1"/>
        <v/>
      </c>
      <c r="L23" s="32" t="str">
        <f>김가은!W8</f>
        <v>미입력</v>
      </c>
      <c r="M23" s="40" t="str">
        <f>IF(김가은!X8="","",김가은!X8)</f>
        <v/>
      </c>
    </row>
    <row r="24" spans="1:13" ht="14.25" customHeight="1">
      <c r="A24" s="62"/>
      <c r="B24" s="62"/>
      <c r="C24" s="15" t="s">
        <v>103</v>
      </c>
      <c r="D24" s="35" t="str">
        <f>김보혜!$B$2</f>
        <v>1년 이상</v>
      </c>
      <c r="E24" s="36">
        <f>김보혜!P8</f>
        <v>50</v>
      </c>
      <c r="F24" s="37">
        <f>김보혜!Q8</f>
        <v>26.5</v>
      </c>
      <c r="G24" s="38">
        <f t="shared" si="0"/>
        <v>0.53</v>
      </c>
      <c r="H24" s="32" t="str">
        <f>김보혜!S8</f>
        <v>미달</v>
      </c>
      <c r="I24" s="36">
        <f>김보혜!T8</f>
        <v>65</v>
      </c>
      <c r="J24" s="37">
        <f>김보혜!U8</f>
        <v>34</v>
      </c>
      <c r="K24" s="38">
        <f t="shared" si="1"/>
        <v>0.52307692307692311</v>
      </c>
      <c r="L24" s="32" t="str">
        <f>김보혜!W8</f>
        <v>미달</v>
      </c>
      <c r="M24" s="40" t="str">
        <f>IF(김보혜!X8="","",김보혜!X8)</f>
        <v>추석 연휴 영향으로 전주 대비 수신 및 접수량이 모두 감소하였습니다. 연휴에 따른 업무량 감소를 감안하여 정상 근무 시 수신 응대 비중과 접수량을 회복할 수 있도록 지속 관리하도록 피드백 하였습니다</v>
      </c>
    </row>
    <row r="25" spans="1:13" ht="14.25" customHeight="1">
      <c r="A25" s="62"/>
      <c r="B25" s="62"/>
      <c r="C25" s="15" t="s">
        <v>104</v>
      </c>
      <c r="D25" s="35" t="str">
        <f>박언정!$B$2</f>
        <v>1년 미만</v>
      </c>
      <c r="E25" s="36">
        <f>박언정!P8</f>
        <v>45</v>
      </c>
      <c r="F25" s="37">
        <f>박언정!Q8</f>
        <v>26.8</v>
      </c>
      <c r="G25" s="38">
        <f t="shared" si="0"/>
        <v>0.59555555555555562</v>
      </c>
      <c r="H25" s="32" t="str">
        <f>박언정!S8</f>
        <v>미달</v>
      </c>
      <c r="I25" s="36">
        <f>박언정!T8</f>
        <v>60</v>
      </c>
      <c r="J25" s="37">
        <f>박언정!U8</f>
        <v>43.4</v>
      </c>
      <c r="K25" s="38">
        <f t="shared" si="1"/>
        <v>0.72333333333333327</v>
      </c>
      <c r="L25" s="32" t="str">
        <f>박언정!W8</f>
        <v>미달</v>
      </c>
      <c r="M25" s="40" t="str">
        <f>IF(박언정!X8="","",박언정!X8)</f>
        <v>추석 연휴 영향으로 전주 대비 수신 및 접수량의 감소 영향이 있었지만 업무폰 교육 종료 후 접수량이 감소한 부분을 확인하였으며, 수신량을 높여 자연스럽게 접수량도 함께 향상될 수 있도록 지속적인 응대 및 실적 관리가 필요하다는 내용으로 피드백하였습니다.</v>
      </c>
    </row>
    <row r="26" spans="1:13" ht="14.25" customHeight="1">
      <c r="A26" s="62"/>
      <c r="B26" s="62"/>
      <c r="C26" s="15" t="s">
        <v>105</v>
      </c>
      <c r="D26" s="35" t="str">
        <f>강아름!$B$2</f>
        <v>1년 미만</v>
      </c>
      <c r="E26" s="36">
        <f>강아름!P8</f>
        <v>45</v>
      </c>
      <c r="F26" s="37">
        <f>강아름!Q8</f>
        <v>41.6</v>
      </c>
      <c r="G26" s="38">
        <f t="shared" si="0"/>
        <v>0.92444444444444451</v>
      </c>
      <c r="H26" s="32" t="str">
        <f>강아름!S8</f>
        <v>미달</v>
      </c>
      <c r="I26" s="36">
        <f>강아름!T8</f>
        <v>60</v>
      </c>
      <c r="J26" s="37">
        <f>강아름!U8</f>
        <v>53.4</v>
      </c>
      <c r="K26" s="38">
        <f t="shared" si="1"/>
        <v>0.89</v>
      </c>
      <c r="L26" s="32" t="str">
        <f>강아름!W8</f>
        <v>미달</v>
      </c>
      <c r="M26" s="40" t="str">
        <f>IF(강아름!X8="","",강아름!X8)</f>
        <v>전주 대비 수신량은 상승하였으나 접수량은 감소하였습니다. 추석 연휴로 전체적인 업무량이 감소한 점을 감안하되, 수신량은 목표에 근접하고 있는 만큼 정상 근무 시 수신 목표 달성과 접수량 향상을 함께 관리하도록 피드백 하였습니다</v>
      </c>
    </row>
    <row r="27" spans="1:13" ht="14.25" customHeight="1">
      <c r="A27" s="62"/>
      <c r="B27" s="62"/>
      <c r="C27" s="15" t="s">
        <v>106</v>
      </c>
      <c r="D27" s="35" t="str">
        <f>정민지!$B$2</f>
        <v>1년 미만</v>
      </c>
      <c r="E27" s="36">
        <f>정민지!P8</f>
        <v>45</v>
      </c>
      <c r="F27" s="37">
        <f>정민지!Q8</f>
        <v>60.75</v>
      </c>
      <c r="G27" s="38">
        <f t="shared" si="0"/>
        <v>1.35</v>
      </c>
      <c r="H27" s="32" t="str">
        <f>정민지!S8</f>
        <v>달성</v>
      </c>
      <c r="I27" s="36">
        <f>정민지!T8</f>
        <v>60</v>
      </c>
      <c r="J27" s="37">
        <f>정민지!U8</f>
        <v>30.75</v>
      </c>
      <c r="K27" s="38">
        <f t="shared" si="1"/>
        <v>0.51249999999999996</v>
      </c>
      <c r="L27" s="32" t="str">
        <f>정민지!W8</f>
        <v>미달</v>
      </c>
      <c r="M27" s="40" t="str">
        <f>IF(정민지!X8="","",정민지!X8)</f>
        <v>수신량은 목표 초과 달성하였으나 접수량은 감소함. 다음주부터 대표문자 교육시작으로 접수량도 같이 올릴수 있도록 피드백 하였습니다.</v>
      </c>
    </row>
    <row r="28" spans="1:13" ht="79.5" customHeight="1">
      <c r="A28" s="63" t="s">
        <v>132</v>
      </c>
      <c r="B28" s="64" t="s">
        <v>133</v>
      </c>
      <c r="C28" s="41" t="s">
        <v>101</v>
      </c>
      <c r="D28" s="42" t="str">
        <f>이재희!$B$2</f>
        <v>1년 이상</v>
      </c>
      <c r="E28" s="43">
        <f>이재희!P9</f>
        <v>50</v>
      </c>
      <c r="F28" s="44">
        <f>이재희!Q9</f>
        <v>27.75</v>
      </c>
      <c r="G28" s="45">
        <f t="shared" si="0"/>
        <v>0.55500000000000005</v>
      </c>
      <c r="H28" s="46" t="str">
        <f>이재희!S9</f>
        <v>미달</v>
      </c>
      <c r="I28" s="43">
        <f>이재희!T9</f>
        <v>65</v>
      </c>
      <c r="J28" s="44">
        <f>이재희!U9</f>
        <v>43</v>
      </c>
      <c r="K28" s="45">
        <f t="shared" si="1"/>
        <v>0.66153846153846152</v>
      </c>
      <c r="L28" s="46" t="str">
        <f>이재희!W9</f>
        <v>미달</v>
      </c>
      <c r="M28" s="47" t="str">
        <f>IF(이재희!X9="","",이재희!X9)</f>
        <v>/</v>
      </c>
    </row>
    <row r="29" spans="1:13" ht="79.5" customHeight="1">
      <c r="A29" s="63"/>
      <c r="B29" s="64"/>
      <c r="C29" s="41" t="s">
        <v>102</v>
      </c>
      <c r="D29" s="42" t="str">
        <f>김가은!$B$2</f>
        <v>1년 이상</v>
      </c>
      <c r="E29" s="43">
        <f>김가은!P9</f>
        <v>50</v>
      </c>
      <c r="F29" s="44">
        <f>김가은!Q9</f>
        <v>37.75</v>
      </c>
      <c r="G29" s="45">
        <f t="shared" si="0"/>
        <v>0.755</v>
      </c>
      <c r="H29" s="46" t="str">
        <f>김가은!S9</f>
        <v>미달</v>
      </c>
      <c r="I29" s="43">
        <f>김가은!T9</f>
        <v>65</v>
      </c>
      <c r="J29" s="44">
        <f>김가은!U9</f>
        <v>48.75</v>
      </c>
      <c r="K29" s="45">
        <f t="shared" si="1"/>
        <v>0.75</v>
      </c>
      <c r="L29" s="46" t="str">
        <f>김가은!W9</f>
        <v>미달</v>
      </c>
      <c r="M29" s="47" t="str">
        <f>IF(김가은!X9="","",김가은!X9)</f>
        <v>복귀 초기 업무 적응 기간인 만큼 정상 근무 이후 수신·접수 실적이 안정적으로 유지될 수 있도록 피드백 하였습니다</v>
      </c>
    </row>
    <row r="30" spans="1:13" ht="79.5" customHeight="1">
      <c r="A30" s="63"/>
      <c r="B30" s="64"/>
      <c r="C30" s="41" t="s">
        <v>103</v>
      </c>
      <c r="D30" s="42" t="str">
        <f>김보혜!$B$2</f>
        <v>1년 이상</v>
      </c>
      <c r="E30" s="43">
        <f>김보혜!P9</f>
        <v>50</v>
      </c>
      <c r="F30" s="44">
        <f>김보혜!Q9</f>
        <v>56.2</v>
      </c>
      <c r="G30" s="45">
        <f t="shared" si="0"/>
        <v>1.1240000000000001</v>
      </c>
      <c r="H30" s="46" t="str">
        <f>김보혜!S9</f>
        <v>달성</v>
      </c>
      <c r="I30" s="43">
        <f>김보혜!T9</f>
        <v>65</v>
      </c>
      <c r="J30" s="44">
        <f>김보혜!U9</f>
        <v>54.6</v>
      </c>
      <c r="K30" s="45">
        <f t="shared" si="1"/>
        <v>0.84</v>
      </c>
      <c r="L30" s="46" t="str">
        <f>김보혜!W9</f>
        <v>미달</v>
      </c>
      <c r="M30" s="47" t="str">
        <f>IF(김보혜!X9="","",김보혜!X9)</f>
        <v>전주 대비 수신 및 접수량이 크게 상승하였으며 수신량은 목표를 달성하였습니다. 접수량은 아직 목표에 미달하고 있어 수신량 상승이 접수량으로 이어질 수 있도록 접수 처리 속도 및 업무 흐름을 지속적으로 관리하도록 피드백 하였습니다.</v>
      </c>
    </row>
    <row r="31" spans="1:13" ht="79.5" customHeight="1">
      <c r="A31" s="63"/>
      <c r="B31" s="64"/>
      <c r="C31" s="41" t="s">
        <v>104</v>
      </c>
      <c r="D31" s="42" t="str">
        <f>박언정!$B$2</f>
        <v>1년 미만</v>
      </c>
      <c r="E31" s="43">
        <f>박언정!P9</f>
        <v>45</v>
      </c>
      <c r="F31" s="44">
        <f>박언정!Q9</f>
        <v>37.6</v>
      </c>
      <c r="G31" s="45">
        <f t="shared" si="0"/>
        <v>0.83555555555555561</v>
      </c>
      <c r="H31" s="46" t="str">
        <f>박언정!S9</f>
        <v>미달</v>
      </c>
      <c r="I31" s="43">
        <f>박언정!T9</f>
        <v>60</v>
      </c>
      <c r="J31" s="44">
        <f>박언정!U9</f>
        <v>63.6</v>
      </c>
      <c r="K31" s="45">
        <f t="shared" si="1"/>
        <v>1.06</v>
      </c>
      <c r="L31" s="46" t="str">
        <f>박언정!W9</f>
        <v>달성</v>
      </c>
      <c r="M31" s="47" t="str">
        <f>IF(박언정!X9="","",박언정!X9)</f>
        <v>전주 대비 수신 및 접수량이 모두 상승하여 접수량은 목표를 달성하였으나 수신량은 부족한 상황이라 수신량도 안정적으로 유지하여 목표 달성될 수 있도록 피드백 하였습니다</v>
      </c>
    </row>
    <row r="32" spans="1:13" ht="79.5" customHeight="1">
      <c r="A32" s="63"/>
      <c r="B32" s="64"/>
      <c r="C32" s="41" t="s">
        <v>105</v>
      </c>
      <c r="D32" s="42" t="str">
        <f>강아름!$B$2</f>
        <v>1년 미만</v>
      </c>
      <c r="E32" s="43">
        <f>강아름!P9</f>
        <v>45</v>
      </c>
      <c r="F32" s="44">
        <f>강아름!Q9</f>
        <v>33.200000000000003</v>
      </c>
      <c r="G32" s="45">
        <f t="shared" si="0"/>
        <v>0.73777777777777787</v>
      </c>
      <c r="H32" s="46" t="str">
        <f>강아름!S9</f>
        <v>미달</v>
      </c>
      <c r="I32" s="43">
        <f>강아름!T9</f>
        <v>60</v>
      </c>
      <c r="J32" s="44">
        <f>강아름!U9</f>
        <v>70.400000000000006</v>
      </c>
      <c r="K32" s="45">
        <f t="shared" si="1"/>
        <v>1.1733333333333333</v>
      </c>
      <c r="L32" s="46" t="str">
        <f>강아름!W9</f>
        <v>달성</v>
      </c>
      <c r="M32" s="47" t="str">
        <f>IF(강아름!X9="","",강아름!X9)</f>
        <v>전주 대비 수신량은 감소하였으나 접수량은 크게 상승하여 목표를 달성하였습니다. 접수량은 안정적인 수준을 유지하면서 수신량도 함께 향상될 수 있도록 수신 응대 비중을 높이는 방향으로 피드백하였습니다</v>
      </c>
    </row>
    <row r="33" spans="1:13">
      <c r="A33" s="62" t="s">
        <v>134</v>
      </c>
      <c r="B33" s="62" t="s">
        <v>135</v>
      </c>
      <c r="C33" s="15" t="s">
        <v>101</v>
      </c>
      <c r="D33" s="35" t="str">
        <f>이재희!$B$2</f>
        <v>1년 이상</v>
      </c>
      <c r="E33" s="36" t="str">
        <f>이재희!P10</f>
        <v/>
      </c>
      <c r="F33" s="37" t="str">
        <f>이재희!Q10</f>
        <v/>
      </c>
      <c r="G33" s="38" t="str">
        <f t="shared" si="0"/>
        <v/>
      </c>
      <c r="H33" s="32" t="str">
        <f>이재희!S10</f>
        <v>미입력</v>
      </c>
      <c r="I33" s="36" t="str">
        <f>이재희!T10</f>
        <v/>
      </c>
      <c r="J33" s="37" t="str">
        <f>이재희!U10</f>
        <v/>
      </c>
      <c r="K33" s="38" t="str">
        <f t="shared" si="1"/>
        <v/>
      </c>
      <c r="L33" s="32" t="str">
        <f>이재희!W10</f>
        <v>미입력</v>
      </c>
      <c r="M33" s="40" t="str">
        <f>IF(이재희!X10="","",이재희!X10)</f>
        <v/>
      </c>
    </row>
    <row r="34" spans="1:13">
      <c r="A34" s="62"/>
      <c r="B34" s="62"/>
      <c r="C34" s="15" t="s">
        <v>102</v>
      </c>
      <c r="D34" s="35" t="str">
        <f>김가은!$B$2</f>
        <v>1년 이상</v>
      </c>
      <c r="E34" s="36" t="str">
        <f>김가은!P10</f>
        <v/>
      </c>
      <c r="F34" s="37" t="str">
        <f>김가은!Q10</f>
        <v/>
      </c>
      <c r="G34" s="38" t="str">
        <f t="shared" si="0"/>
        <v/>
      </c>
      <c r="H34" s="32" t="str">
        <f>김가은!S10</f>
        <v>미입력</v>
      </c>
      <c r="I34" s="36" t="str">
        <f>김가은!T10</f>
        <v/>
      </c>
      <c r="J34" s="37" t="str">
        <f>김가은!U10</f>
        <v/>
      </c>
      <c r="K34" s="38" t="str">
        <f t="shared" si="1"/>
        <v/>
      </c>
      <c r="L34" s="32" t="str">
        <f>김가은!W10</f>
        <v>미입력</v>
      </c>
      <c r="M34" s="40" t="str">
        <f>IF(김가은!X10="","",김가은!X10)</f>
        <v/>
      </c>
    </row>
    <row r="35" spans="1:13">
      <c r="A35" s="62"/>
      <c r="B35" s="62"/>
      <c r="C35" s="15" t="s">
        <v>103</v>
      </c>
      <c r="D35" s="35" t="str">
        <f>김보혜!$B$2</f>
        <v>1년 이상</v>
      </c>
      <c r="E35" s="36" t="str">
        <f>김보혜!P10</f>
        <v/>
      </c>
      <c r="F35" s="37" t="str">
        <f>김보혜!Q10</f>
        <v/>
      </c>
      <c r="G35" s="38" t="str">
        <f t="shared" ref="G35:G66" si="2">IF(OR($F35="",$E35=""),"",$F35/$E35)</f>
        <v/>
      </c>
      <c r="H35" s="32" t="str">
        <f>김보혜!S10</f>
        <v>미입력</v>
      </c>
      <c r="I35" s="36" t="str">
        <f>김보혜!T10</f>
        <v/>
      </c>
      <c r="J35" s="37" t="str">
        <f>김보혜!U10</f>
        <v/>
      </c>
      <c r="K35" s="38" t="str">
        <f t="shared" ref="K35:K66" si="3">IF(OR($J35="",$I35=""),"",$J35/$I35)</f>
        <v/>
      </c>
      <c r="L35" s="32" t="str">
        <f>김보혜!W10</f>
        <v>미입력</v>
      </c>
      <c r="M35" s="40" t="str">
        <f>IF(김보혜!X10="","",김보혜!X10)</f>
        <v/>
      </c>
    </row>
    <row r="36" spans="1:13">
      <c r="A36" s="62"/>
      <c r="B36" s="62"/>
      <c r="C36" s="15" t="s">
        <v>104</v>
      </c>
      <c r="D36" s="35" t="str">
        <f>박언정!$B$2</f>
        <v>1년 미만</v>
      </c>
      <c r="E36" s="36" t="str">
        <f>박언정!P10</f>
        <v/>
      </c>
      <c r="F36" s="37" t="str">
        <f>박언정!Q10</f>
        <v/>
      </c>
      <c r="G36" s="38" t="str">
        <f t="shared" si="2"/>
        <v/>
      </c>
      <c r="H36" s="32" t="str">
        <f>박언정!S10</f>
        <v>미입력</v>
      </c>
      <c r="I36" s="36" t="str">
        <f>박언정!T10</f>
        <v/>
      </c>
      <c r="J36" s="37" t="str">
        <f>박언정!U10</f>
        <v/>
      </c>
      <c r="K36" s="38" t="str">
        <f t="shared" si="3"/>
        <v/>
      </c>
      <c r="L36" s="32" t="str">
        <f>박언정!W10</f>
        <v>미입력</v>
      </c>
      <c r="M36" s="40" t="str">
        <f>IF(박언정!X10="","",박언정!X10)</f>
        <v/>
      </c>
    </row>
    <row r="37" spans="1:13">
      <c r="A37" s="62"/>
      <c r="B37" s="62"/>
      <c r="C37" s="15" t="s">
        <v>105</v>
      </c>
      <c r="D37" s="35" t="str">
        <f>강아름!$B$2</f>
        <v>1년 미만</v>
      </c>
      <c r="E37" s="36" t="str">
        <f>강아름!P10</f>
        <v/>
      </c>
      <c r="F37" s="37" t="str">
        <f>강아름!Q10</f>
        <v/>
      </c>
      <c r="G37" s="38" t="str">
        <f t="shared" si="2"/>
        <v/>
      </c>
      <c r="H37" s="32" t="str">
        <f>강아름!S10</f>
        <v>미입력</v>
      </c>
      <c r="I37" s="36" t="str">
        <f>강아름!T10</f>
        <v/>
      </c>
      <c r="J37" s="37" t="str">
        <f>강아름!U10</f>
        <v/>
      </c>
      <c r="K37" s="38" t="str">
        <f t="shared" si="3"/>
        <v/>
      </c>
      <c r="L37" s="32" t="str">
        <f>강아름!W10</f>
        <v>미입력</v>
      </c>
      <c r="M37" s="40" t="str">
        <f>IF(강아름!X10="","",강아름!X10)</f>
        <v/>
      </c>
    </row>
    <row r="38" spans="1:13">
      <c r="A38" s="62"/>
      <c r="B38" s="62"/>
      <c r="C38" s="15" t="s">
        <v>106</v>
      </c>
      <c r="D38" s="35" t="str">
        <f>정민지!$B$2</f>
        <v>1년 미만</v>
      </c>
      <c r="E38" s="36" t="str">
        <f>정민지!P10</f>
        <v/>
      </c>
      <c r="F38" s="37" t="str">
        <f>정민지!Q10</f>
        <v/>
      </c>
      <c r="G38" s="38" t="str">
        <f t="shared" si="2"/>
        <v/>
      </c>
      <c r="H38" s="32" t="str">
        <f>정민지!S10</f>
        <v>미입력</v>
      </c>
      <c r="I38" s="36" t="str">
        <f>정민지!T10</f>
        <v/>
      </c>
      <c r="J38" s="37" t="str">
        <f>정민지!U10</f>
        <v/>
      </c>
      <c r="K38" s="38" t="str">
        <f t="shared" si="3"/>
        <v/>
      </c>
      <c r="L38" s="32" t="str">
        <f>정민지!W10</f>
        <v>미입력</v>
      </c>
      <c r="M38" s="40" t="str">
        <f>IF(정민지!X10="","",정민지!X10)</f>
        <v/>
      </c>
    </row>
    <row r="39" spans="1:13">
      <c r="A39" s="62" t="s">
        <v>61</v>
      </c>
      <c r="B39" s="62" t="s">
        <v>110</v>
      </c>
      <c r="C39" s="15" t="s">
        <v>101</v>
      </c>
      <c r="D39" s="35" t="str">
        <f>이재희!$B$2</f>
        <v>1년 이상</v>
      </c>
      <c r="E39" s="36" t="str">
        <f>이재희!P11</f>
        <v/>
      </c>
      <c r="F39" s="37" t="str">
        <f>이재희!Q11</f>
        <v/>
      </c>
      <c r="G39" s="38" t="str">
        <f t="shared" si="2"/>
        <v/>
      </c>
      <c r="H39" s="32" t="str">
        <f>이재희!S11</f>
        <v>미입력</v>
      </c>
      <c r="I39" s="36" t="str">
        <f>이재희!T11</f>
        <v/>
      </c>
      <c r="J39" s="37" t="str">
        <f>이재희!U11</f>
        <v/>
      </c>
      <c r="K39" s="38" t="str">
        <f t="shared" si="3"/>
        <v/>
      </c>
      <c r="L39" s="32" t="str">
        <f>이재희!W11</f>
        <v>미입력</v>
      </c>
      <c r="M39" s="40" t="str">
        <f>IF(이재희!X11="","",이재희!X11)</f>
        <v/>
      </c>
    </row>
    <row r="40" spans="1:13">
      <c r="A40" s="62"/>
      <c r="B40" s="62"/>
      <c r="C40" s="15" t="s">
        <v>102</v>
      </c>
      <c r="D40" s="35" t="str">
        <f>김가은!$B$2</f>
        <v>1년 이상</v>
      </c>
      <c r="E40" s="36" t="str">
        <f>김가은!P11</f>
        <v/>
      </c>
      <c r="F40" s="37" t="str">
        <f>김가은!Q11</f>
        <v/>
      </c>
      <c r="G40" s="38" t="str">
        <f t="shared" si="2"/>
        <v/>
      </c>
      <c r="H40" s="32" t="str">
        <f>김가은!S11</f>
        <v>미입력</v>
      </c>
      <c r="I40" s="36" t="str">
        <f>김가은!T11</f>
        <v/>
      </c>
      <c r="J40" s="37" t="str">
        <f>김가은!U11</f>
        <v/>
      </c>
      <c r="K40" s="38" t="str">
        <f t="shared" si="3"/>
        <v/>
      </c>
      <c r="L40" s="32" t="str">
        <f>김가은!W11</f>
        <v>미입력</v>
      </c>
      <c r="M40" s="40" t="str">
        <f>IF(김가은!X11="","",김가은!X11)</f>
        <v/>
      </c>
    </row>
    <row r="41" spans="1:13">
      <c r="A41" s="62"/>
      <c r="B41" s="62"/>
      <c r="C41" s="15" t="s">
        <v>103</v>
      </c>
      <c r="D41" s="35" t="str">
        <f>김보혜!$B$2</f>
        <v>1년 이상</v>
      </c>
      <c r="E41" s="36" t="str">
        <f>김보혜!P11</f>
        <v/>
      </c>
      <c r="F41" s="37" t="str">
        <f>김보혜!Q11</f>
        <v/>
      </c>
      <c r="G41" s="38" t="str">
        <f t="shared" si="2"/>
        <v/>
      </c>
      <c r="H41" s="32" t="str">
        <f>김보혜!S11</f>
        <v>미입력</v>
      </c>
      <c r="I41" s="36" t="str">
        <f>김보혜!T11</f>
        <v/>
      </c>
      <c r="J41" s="37" t="str">
        <f>김보혜!U11</f>
        <v/>
      </c>
      <c r="K41" s="38" t="str">
        <f t="shared" si="3"/>
        <v/>
      </c>
      <c r="L41" s="32" t="str">
        <f>김보혜!W11</f>
        <v>미입력</v>
      </c>
      <c r="M41" s="40" t="str">
        <f>IF(김보혜!X11="","",김보혜!X11)</f>
        <v/>
      </c>
    </row>
    <row r="42" spans="1:13">
      <c r="A42" s="62"/>
      <c r="B42" s="62"/>
      <c r="C42" s="15" t="s">
        <v>104</v>
      </c>
      <c r="D42" s="35" t="str">
        <f>박언정!$B$2</f>
        <v>1년 미만</v>
      </c>
      <c r="E42" s="36" t="str">
        <f>박언정!P11</f>
        <v/>
      </c>
      <c r="F42" s="37" t="str">
        <f>박언정!Q11</f>
        <v/>
      </c>
      <c r="G42" s="38" t="str">
        <f t="shared" si="2"/>
        <v/>
      </c>
      <c r="H42" s="32" t="str">
        <f>박언정!S11</f>
        <v>미입력</v>
      </c>
      <c r="I42" s="36" t="str">
        <f>박언정!T11</f>
        <v/>
      </c>
      <c r="J42" s="37" t="str">
        <f>박언정!U11</f>
        <v/>
      </c>
      <c r="K42" s="38" t="str">
        <f t="shared" si="3"/>
        <v/>
      </c>
      <c r="L42" s="32" t="str">
        <f>박언정!W11</f>
        <v>미입력</v>
      </c>
      <c r="M42" s="40" t="str">
        <f>IF(박언정!X11="","",박언정!X11)</f>
        <v/>
      </c>
    </row>
    <row r="43" spans="1:13">
      <c r="A43" s="62"/>
      <c r="B43" s="62"/>
      <c r="C43" s="15" t="s">
        <v>105</v>
      </c>
      <c r="D43" s="35" t="str">
        <f>강아름!$B$2</f>
        <v>1년 미만</v>
      </c>
      <c r="E43" s="36" t="str">
        <f>강아름!P11</f>
        <v/>
      </c>
      <c r="F43" s="37" t="str">
        <f>강아름!Q11</f>
        <v/>
      </c>
      <c r="G43" s="38" t="str">
        <f t="shared" si="2"/>
        <v/>
      </c>
      <c r="H43" s="32" t="str">
        <f>강아름!S11</f>
        <v>미입력</v>
      </c>
      <c r="I43" s="36" t="str">
        <f>강아름!T11</f>
        <v/>
      </c>
      <c r="J43" s="37" t="str">
        <f>강아름!U11</f>
        <v/>
      </c>
      <c r="K43" s="38" t="str">
        <f t="shared" si="3"/>
        <v/>
      </c>
      <c r="L43" s="32" t="str">
        <f>강아름!W11</f>
        <v>미입력</v>
      </c>
      <c r="M43" s="40" t="str">
        <f>IF(강아름!X11="","",강아름!X11)</f>
        <v/>
      </c>
    </row>
    <row r="44" spans="1:13">
      <c r="A44" s="62"/>
      <c r="B44" s="62"/>
      <c r="C44" s="15" t="s">
        <v>106</v>
      </c>
      <c r="D44" s="35" t="str">
        <f>정민지!$B$2</f>
        <v>1년 미만</v>
      </c>
      <c r="E44" s="36" t="str">
        <f>정민지!P11</f>
        <v/>
      </c>
      <c r="F44" s="37" t="str">
        <f>정민지!Q11</f>
        <v/>
      </c>
      <c r="G44" s="38" t="str">
        <f t="shared" si="2"/>
        <v/>
      </c>
      <c r="H44" s="32" t="str">
        <f>정민지!S11</f>
        <v>미입력</v>
      </c>
      <c r="I44" s="36" t="str">
        <f>정민지!T11</f>
        <v/>
      </c>
      <c r="J44" s="37" t="str">
        <f>정민지!U11</f>
        <v/>
      </c>
      <c r="K44" s="38" t="str">
        <f t="shared" si="3"/>
        <v/>
      </c>
      <c r="L44" s="32" t="str">
        <f>정민지!W11</f>
        <v>미입력</v>
      </c>
      <c r="M44" s="40" t="str">
        <f>IF(정민지!X11="","",정민지!X11)</f>
        <v/>
      </c>
    </row>
    <row r="45" spans="1:13">
      <c r="A45" s="62" t="s">
        <v>62</v>
      </c>
      <c r="B45" s="62" t="s">
        <v>111</v>
      </c>
      <c r="C45" s="15" t="s">
        <v>101</v>
      </c>
      <c r="D45" s="35" t="str">
        <f>이재희!$B$2</f>
        <v>1년 이상</v>
      </c>
      <c r="E45" s="36" t="str">
        <f>이재희!P12</f>
        <v/>
      </c>
      <c r="F45" s="37" t="str">
        <f>이재희!Q12</f>
        <v/>
      </c>
      <c r="G45" s="38" t="str">
        <f t="shared" si="2"/>
        <v/>
      </c>
      <c r="H45" s="32" t="str">
        <f>이재희!S12</f>
        <v>미입력</v>
      </c>
      <c r="I45" s="36" t="str">
        <f>이재희!T12</f>
        <v/>
      </c>
      <c r="J45" s="37" t="str">
        <f>이재희!U12</f>
        <v/>
      </c>
      <c r="K45" s="38" t="str">
        <f t="shared" si="3"/>
        <v/>
      </c>
      <c r="L45" s="32" t="str">
        <f>이재희!W12</f>
        <v>미입력</v>
      </c>
      <c r="M45" s="40" t="str">
        <f>IF(이재희!X12="","",이재희!X12)</f>
        <v/>
      </c>
    </row>
    <row r="46" spans="1:13">
      <c r="A46" s="62"/>
      <c r="B46" s="62"/>
      <c r="C46" s="15" t="s">
        <v>102</v>
      </c>
      <c r="D46" s="35" t="str">
        <f>김가은!$B$2</f>
        <v>1년 이상</v>
      </c>
      <c r="E46" s="36" t="str">
        <f>김가은!P12</f>
        <v/>
      </c>
      <c r="F46" s="37" t="str">
        <f>김가은!Q12</f>
        <v/>
      </c>
      <c r="G46" s="38" t="str">
        <f t="shared" si="2"/>
        <v/>
      </c>
      <c r="H46" s="32" t="str">
        <f>김가은!S12</f>
        <v>미입력</v>
      </c>
      <c r="I46" s="36" t="str">
        <f>김가은!T12</f>
        <v/>
      </c>
      <c r="J46" s="37" t="str">
        <f>김가은!U12</f>
        <v/>
      </c>
      <c r="K46" s="38" t="str">
        <f t="shared" si="3"/>
        <v/>
      </c>
      <c r="L46" s="32" t="str">
        <f>김가은!W12</f>
        <v>미입력</v>
      </c>
      <c r="M46" s="40" t="str">
        <f>IF(김가은!X12="","",김가은!X12)</f>
        <v/>
      </c>
    </row>
    <row r="47" spans="1:13">
      <c r="A47" s="62"/>
      <c r="B47" s="62"/>
      <c r="C47" s="15" t="s">
        <v>103</v>
      </c>
      <c r="D47" s="35" t="str">
        <f>김보혜!$B$2</f>
        <v>1년 이상</v>
      </c>
      <c r="E47" s="36" t="str">
        <f>김보혜!P12</f>
        <v/>
      </c>
      <c r="F47" s="37" t="str">
        <f>김보혜!Q12</f>
        <v/>
      </c>
      <c r="G47" s="38" t="str">
        <f t="shared" si="2"/>
        <v/>
      </c>
      <c r="H47" s="32" t="str">
        <f>김보혜!S12</f>
        <v>미입력</v>
      </c>
      <c r="I47" s="36" t="str">
        <f>김보혜!T12</f>
        <v/>
      </c>
      <c r="J47" s="37" t="str">
        <f>김보혜!U12</f>
        <v/>
      </c>
      <c r="K47" s="38" t="str">
        <f t="shared" si="3"/>
        <v/>
      </c>
      <c r="L47" s="32" t="str">
        <f>김보혜!W12</f>
        <v>미입력</v>
      </c>
      <c r="M47" s="40" t="str">
        <f>IF(김보혜!X12="","",김보혜!X12)</f>
        <v/>
      </c>
    </row>
    <row r="48" spans="1:13">
      <c r="A48" s="62"/>
      <c r="B48" s="62"/>
      <c r="C48" s="15" t="s">
        <v>104</v>
      </c>
      <c r="D48" s="35" t="str">
        <f>박언정!$B$2</f>
        <v>1년 미만</v>
      </c>
      <c r="E48" s="36" t="str">
        <f>박언정!P12</f>
        <v/>
      </c>
      <c r="F48" s="37" t="str">
        <f>박언정!Q12</f>
        <v/>
      </c>
      <c r="G48" s="38" t="str">
        <f t="shared" si="2"/>
        <v/>
      </c>
      <c r="H48" s="32" t="str">
        <f>박언정!S12</f>
        <v>미입력</v>
      </c>
      <c r="I48" s="36" t="str">
        <f>박언정!T12</f>
        <v/>
      </c>
      <c r="J48" s="37" t="str">
        <f>박언정!U12</f>
        <v/>
      </c>
      <c r="K48" s="38" t="str">
        <f t="shared" si="3"/>
        <v/>
      </c>
      <c r="L48" s="32" t="str">
        <f>박언정!W12</f>
        <v>미입력</v>
      </c>
      <c r="M48" s="40" t="str">
        <f>IF(박언정!X12="","",박언정!X12)</f>
        <v/>
      </c>
    </row>
    <row r="49" spans="1:13">
      <c r="A49" s="62"/>
      <c r="B49" s="62"/>
      <c r="C49" s="15" t="s">
        <v>105</v>
      </c>
      <c r="D49" s="35" t="str">
        <f>강아름!$B$2</f>
        <v>1년 미만</v>
      </c>
      <c r="E49" s="36" t="str">
        <f>강아름!P12</f>
        <v/>
      </c>
      <c r="F49" s="37" t="str">
        <f>강아름!Q12</f>
        <v/>
      </c>
      <c r="G49" s="38" t="str">
        <f t="shared" si="2"/>
        <v/>
      </c>
      <c r="H49" s="32" t="str">
        <f>강아름!S12</f>
        <v>미입력</v>
      </c>
      <c r="I49" s="36" t="str">
        <f>강아름!T12</f>
        <v/>
      </c>
      <c r="J49" s="37" t="str">
        <f>강아름!U12</f>
        <v/>
      </c>
      <c r="K49" s="38" t="str">
        <f t="shared" si="3"/>
        <v/>
      </c>
      <c r="L49" s="32" t="str">
        <f>강아름!W12</f>
        <v>미입력</v>
      </c>
      <c r="M49" s="40" t="str">
        <f>IF(강아름!X12="","",강아름!X12)</f>
        <v/>
      </c>
    </row>
    <row r="50" spans="1:13">
      <c r="A50" s="62"/>
      <c r="B50" s="62"/>
      <c r="C50" s="15" t="s">
        <v>106</v>
      </c>
      <c r="D50" s="35" t="str">
        <f>정민지!$B$2</f>
        <v>1년 미만</v>
      </c>
      <c r="E50" s="36" t="str">
        <f>정민지!P12</f>
        <v/>
      </c>
      <c r="F50" s="37" t="str">
        <f>정민지!Q12</f>
        <v/>
      </c>
      <c r="G50" s="38" t="str">
        <f t="shared" si="2"/>
        <v/>
      </c>
      <c r="H50" s="32" t="str">
        <f>정민지!S12</f>
        <v>미입력</v>
      </c>
      <c r="I50" s="36" t="str">
        <f>정민지!T12</f>
        <v/>
      </c>
      <c r="J50" s="37" t="str">
        <f>정민지!U12</f>
        <v/>
      </c>
      <c r="K50" s="38" t="str">
        <f t="shared" si="3"/>
        <v/>
      </c>
      <c r="L50" s="32" t="str">
        <f>정민지!W12</f>
        <v>미입력</v>
      </c>
      <c r="M50" s="40" t="str">
        <f>IF(정민지!X12="","",정민지!X12)</f>
        <v/>
      </c>
    </row>
    <row r="51" spans="1:13">
      <c r="A51" s="62" t="s">
        <v>63</v>
      </c>
      <c r="B51" s="62" t="s">
        <v>112</v>
      </c>
      <c r="C51" s="15" t="s">
        <v>101</v>
      </c>
      <c r="D51" s="35" t="str">
        <f>이재희!$B$2</f>
        <v>1년 이상</v>
      </c>
      <c r="E51" s="36" t="str">
        <f>이재희!P13</f>
        <v/>
      </c>
      <c r="F51" s="37" t="str">
        <f>이재희!Q13</f>
        <v/>
      </c>
      <c r="G51" s="38" t="str">
        <f t="shared" si="2"/>
        <v/>
      </c>
      <c r="H51" s="32" t="str">
        <f>이재희!S13</f>
        <v>미입력</v>
      </c>
      <c r="I51" s="36" t="str">
        <f>이재희!T13</f>
        <v/>
      </c>
      <c r="J51" s="37" t="str">
        <f>이재희!U13</f>
        <v/>
      </c>
      <c r="K51" s="38" t="str">
        <f t="shared" si="3"/>
        <v/>
      </c>
      <c r="L51" s="32" t="str">
        <f>이재희!W13</f>
        <v>미입력</v>
      </c>
      <c r="M51" s="40" t="str">
        <f>IF(이재희!X13="","",이재희!X13)</f>
        <v/>
      </c>
    </row>
    <row r="52" spans="1:13">
      <c r="A52" s="62"/>
      <c r="B52" s="62"/>
      <c r="C52" s="15" t="s">
        <v>102</v>
      </c>
      <c r="D52" s="35" t="str">
        <f>김가은!$B$2</f>
        <v>1년 이상</v>
      </c>
      <c r="E52" s="36" t="str">
        <f>김가은!P13</f>
        <v/>
      </c>
      <c r="F52" s="37" t="str">
        <f>김가은!Q13</f>
        <v/>
      </c>
      <c r="G52" s="38" t="str">
        <f t="shared" si="2"/>
        <v/>
      </c>
      <c r="H52" s="32" t="str">
        <f>김가은!S13</f>
        <v>미입력</v>
      </c>
      <c r="I52" s="36" t="str">
        <f>김가은!T13</f>
        <v/>
      </c>
      <c r="J52" s="37" t="str">
        <f>김가은!U13</f>
        <v/>
      </c>
      <c r="K52" s="38" t="str">
        <f t="shared" si="3"/>
        <v/>
      </c>
      <c r="L52" s="32" t="str">
        <f>김가은!W13</f>
        <v>미입력</v>
      </c>
      <c r="M52" s="40" t="str">
        <f>IF(김가은!X13="","",김가은!X13)</f>
        <v/>
      </c>
    </row>
    <row r="53" spans="1:13">
      <c r="A53" s="62"/>
      <c r="B53" s="62"/>
      <c r="C53" s="15" t="s">
        <v>103</v>
      </c>
      <c r="D53" s="35" t="str">
        <f>김보혜!$B$2</f>
        <v>1년 이상</v>
      </c>
      <c r="E53" s="36" t="str">
        <f>김보혜!P13</f>
        <v/>
      </c>
      <c r="F53" s="37" t="str">
        <f>김보혜!Q13</f>
        <v/>
      </c>
      <c r="G53" s="38" t="str">
        <f t="shared" si="2"/>
        <v/>
      </c>
      <c r="H53" s="32" t="str">
        <f>김보혜!S13</f>
        <v>미입력</v>
      </c>
      <c r="I53" s="36" t="str">
        <f>김보혜!T13</f>
        <v/>
      </c>
      <c r="J53" s="37" t="str">
        <f>김보혜!U13</f>
        <v/>
      </c>
      <c r="K53" s="38" t="str">
        <f t="shared" si="3"/>
        <v/>
      </c>
      <c r="L53" s="32" t="str">
        <f>김보혜!W13</f>
        <v>미입력</v>
      </c>
      <c r="M53" s="40" t="str">
        <f>IF(김보혜!X13="","",김보혜!X13)</f>
        <v/>
      </c>
    </row>
    <row r="54" spans="1:13">
      <c r="A54" s="62"/>
      <c r="B54" s="62"/>
      <c r="C54" s="15" t="s">
        <v>104</v>
      </c>
      <c r="D54" s="35" t="str">
        <f>박언정!$B$2</f>
        <v>1년 미만</v>
      </c>
      <c r="E54" s="36" t="str">
        <f>박언정!P13</f>
        <v/>
      </c>
      <c r="F54" s="37" t="str">
        <f>박언정!Q13</f>
        <v/>
      </c>
      <c r="G54" s="38" t="str">
        <f t="shared" si="2"/>
        <v/>
      </c>
      <c r="H54" s="32" t="str">
        <f>박언정!S13</f>
        <v>미입력</v>
      </c>
      <c r="I54" s="36" t="str">
        <f>박언정!T13</f>
        <v/>
      </c>
      <c r="J54" s="37" t="str">
        <f>박언정!U13</f>
        <v/>
      </c>
      <c r="K54" s="38" t="str">
        <f t="shared" si="3"/>
        <v/>
      </c>
      <c r="L54" s="32" t="str">
        <f>박언정!W13</f>
        <v>미입력</v>
      </c>
      <c r="M54" s="40" t="str">
        <f>IF(박언정!X13="","",박언정!X13)</f>
        <v/>
      </c>
    </row>
    <row r="55" spans="1:13">
      <c r="A55" s="62"/>
      <c r="B55" s="62"/>
      <c r="C55" s="15" t="s">
        <v>105</v>
      </c>
      <c r="D55" s="35" t="str">
        <f>강아름!$B$2</f>
        <v>1년 미만</v>
      </c>
      <c r="E55" s="36" t="str">
        <f>강아름!P13</f>
        <v/>
      </c>
      <c r="F55" s="37" t="str">
        <f>강아름!Q13</f>
        <v/>
      </c>
      <c r="G55" s="38" t="str">
        <f t="shared" si="2"/>
        <v/>
      </c>
      <c r="H55" s="32" t="str">
        <f>강아름!S13</f>
        <v>미입력</v>
      </c>
      <c r="I55" s="36" t="str">
        <f>강아름!T13</f>
        <v/>
      </c>
      <c r="J55" s="37" t="str">
        <f>강아름!U13</f>
        <v/>
      </c>
      <c r="K55" s="38" t="str">
        <f t="shared" si="3"/>
        <v/>
      </c>
      <c r="L55" s="32" t="str">
        <f>강아름!W13</f>
        <v>미입력</v>
      </c>
      <c r="M55" s="40" t="str">
        <f>IF(강아름!X13="","",강아름!X13)</f>
        <v/>
      </c>
    </row>
    <row r="56" spans="1:13">
      <c r="A56" s="62"/>
      <c r="B56" s="62"/>
      <c r="C56" s="15" t="s">
        <v>106</v>
      </c>
      <c r="D56" s="35" t="str">
        <f>정민지!$B$2</f>
        <v>1년 미만</v>
      </c>
      <c r="E56" s="36" t="str">
        <f>정민지!P13</f>
        <v/>
      </c>
      <c r="F56" s="37" t="str">
        <f>정민지!Q13</f>
        <v/>
      </c>
      <c r="G56" s="38" t="str">
        <f t="shared" si="2"/>
        <v/>
      </c>
      <c r="H56" s="32" t="str">
        <f>정민지!S13</f>
        <v>미입력</v>
      </c>
      <c r="I56" s="36" t="str">
        <f>정민지!T13</f>
        <v/>
      </c>
      <c r="J56" s="37" t="str">
        <f>정민지!U13</f>
        <v/>
      </c>
      <c r="K56" s="38" t="str">
        <f t="shared" si="3"/>
        <v/>
      </c>
      <c r="L56" s="32" t="str">
        <f>정민지!W13</f>
        <v>미입력</v>
      </c>
      <c r="M56" s="40" t="str">
        <f>IF(정민지!X13="","",정민지!X13)</f>
        <v/>
      </c>
    </row>
    <row r="57" spans="1:13">
      <c r="A57" s="62" t="s">
        <v>64</v>
      </c>
      <c r="B57" s="62" t="s">
        <v>113</v>
      </c>
      <c r="C57" s="15" t="s">
        <v>101</v>
      </c>
      <c r="D57" s="35" t="str">
        <f>이재희!$B$2</f>
        <v>1년 이상</v>
      </c>
      <c r="E57" s="36" t="str">
        <f>이재희!P14</f>
        <v/>
      </c>
      <c r="F57" s="37" t="str">
        <f>이재희!Q14</f>
        <v/>
      </c>
      <c r="G57" s="38" t="str">
        <f t="shared" si="2"/>
        <v/>
      </c>
      <c r="H57" s="32" t="str">
        <f>이재희!S14</f>
        <v>미입력</v>
      </c>
      <c r="I57" s="36" t="str">
        <f>이재희!T14</f>
        <v/>
      </c>
      <c r="J57" s="37" t="str">
        <f>이재희!U14</f>
        <v/>
      </c>
      <c r="K57" s="38" t="str">
        <f t="shared" si="3"/>
        <v/>
      </c>
      <c r="L57" s="32" t="str">
        <f>이재희!W14</f>
        <v>미입력</v>
      </c>
      <c r="M57" s="40" t="str">
        <f>IF(이재희!X14="","",이재희!X14)</f>
        <v/>
      </c>
    </row>
    <row r="58" spans="1:13">
      <c r="A58" s="62"/>
      <c r="B58" s="62"/>
      <c r="C58" s="15" t="s">
        <v>102</v>
      </c>
      <c r="D58" s="35" t="str">
        <f>김가은!$B$2</f>
        <v>1년 이상</v>
      </c>
      <c r="E58" s="36" t="str">
        <f>김가은!P14</f>
        <v/>
      </c>
      <c r="F58" s="37" t="str">
        <f>김가은!Q14</f>
        <v/>
      </c>
      <c r="G58" s="38" t="str">
        <f t="shared" si="2"/>
        <v/>
      </c>
      <c r="H58" s="32" t="str">
        <f>김가은!S14</f>
        <v>미입력</v>
      </c>
      <c r="I58" s="36" t="str">
        <f>김가은!T14</f>
        <v/>
      </c>
      <c r="J58" s="37" t="str">
        <f>김가은!U14</f>
        <v/>
      </c>
      <c r="K58" s="38" t="str">
        <f t="shared" si="3"/>
        <v/>
      </c>
      <c r="L58" s="32" t="str">
        <f>김가은!W14</f>
        <v>미입력</v>
      </c>
      <c r="M58" s="40" t="str">
        <f>IF(김가은!X14="","",김가은!X14)</f>
        <v/>
      </c>
    </row>
    <row r="59" spans="1:13">
      <c r="A59" s="62"/>
      <c r="B59" s="62"/>
      <c r="C59" s="15" t="s">
        <v>103</v>
      </c>
      <c r="D59" s="35" t="str">
        <f>김보혜!$B$2</f>
        <v>1년 이상</v>
      </c>
      <c r="E59" s="36" t="str">
        <f>김보혜!P14</f>
        <v/>
      </c>
      <c r="F59" s="37" t="str">
        <f>김보혜!Q14</f>
        <v/>
      </c>
      <c r="G59" s="38" t="str">
        <f t="shared" si="2"/>
        <v/>
      </c>
      <c r="H59" s="32" t="str">
        <f>김보혜!S14</f>
        <v>미입력</v>
      </c>
      <c r="I59" s="36" t="str">
        <f>김보혜!T14</f>
        <v/>
      </c>
      <c r="J59" s="37" t="str">
        <f>김보혜!U14</f>
        <v/>
      </c>
      <c r="K59" s="38" t="str">
        <f t="shared" si="3"/>
        <v/>
      </c>
      <c r="L59" s="32" t="str">
        <f>김보혜!W14</f>
        <v>미입력</v>
      </c>
      <c r="M59" s="40" t="str">
        <f>IF(김보혜!X14="","",김보혜!X14)</f>
        <v/>
      </c>
    </row>
    <row r="60" spans="1:13">
      <c r="A60" s="62"/>
      <c r="B60" s="62"/>
      <c r="C60" s="15" t="s">
        <v>104</v>
      </c>
      <c r="D60" s="35" t="str">
        <f>박언정!$B$2</f>
        <v>1년 미만</v>
      </c>
      <c r="E60" s="36" t="str">
        <f>박언정!P14</f>
        <v/>
      </c>
      <c r="F60" s="37" t="str">
        <f>박언정!Q14</f>
        <v/>
      </c>
      <c r="G60" s="38" t="str">
        <f t="shared" si="2"/>
        <v/>
      </c>
      <c r="H60" s="32" t="str">
        <f>박언정!S14</f>
        <v>미입력</v>
      </c>
      <c r="I60" s="36" t="str">
        <f>박언정!T14</f>
        <v/>
      </c>
      <c r="J60" s="37" t="str">
        <f>박언정!U14</f>
        <v/>
      </c>
      <c r="K60" s="38" t="str">
        <f t="shared" si="3"/>
        <v/>
      </c>
      <c r="L60" s="32" t="str">
        <f>박언정!W14</f>
        <v>미입력</v>
      </c>
      <c r="M60" s="40" t="str">
        <f>IF(박언정!X14="","",박언정!X14)</f>
        <v/>
      </c>
    </row>
    <row r="61" spans="1:13">
      <c r="A61" s="62"/>
      <c r="B61" s="62"/>
      <c r="C61" s="15" t="s">
        <v>105</v>
      </c>
      <c r="D61" s="35" t="str">
        <f>강아름!$B$2</f>
        <v>1년 미만</v>
      </c>
      <c r="E61" s="36" t="str">
        <f>강아름!P14</f>
        <v/>
      </c>
      <c r="F61" s="37" t="str">
        <f>강아름!Q14</f>
        <v/>
      </c>
      <c r="G61" s="38" t="str">
        <f t="shared" si="2"/>
        <v/>
      </c>
      <c r="H61" s="32" t="str">
        <f>강아름!S14</f>
        <v>미입력</v>
      </c>
      <c r="I61" s="36" t="str">
        <f>강아름!T14</f>
        <v/>
      </c>
      <c r="J61" s="37" t="str">
        <f>강아름!U14</f>
        <v/>
      </c>
      <c r="K61" s="38" t="str">
        <f t="shared" si="3"/>
        <v/>
      </c>
      <c r="L61" s="32" t="str">
        <f>강아름!W14</f>
        <v>미입력</v>
      </c>
      <c r="M61" s="40" t="str">
        <f>IF(강아름!X14="","",강아름!X14)</f>
        <v/>
      </c>
    </row>
    <row r="62" spans="1:13">
      <c r="A62" s="62"/>
      <c r="B62" s="62"/>
      <c r="C62" s="15" t="s">
        <v>106</v>
      </c>
      <c r="D62" s="35" t="str">
        <f>정민지!$B$2</f>
        <v>1년 미만</v>
      </c>
      <c r="E62" s="36" t="str">
        <f>정민지!P14</f>
        <v/>
      </c>
      <c r="F62" s="37" t="str">
        <f>정민지!Q14</f>
        <v/>
      </c>
      <c r="G62" s="38" t="str">
        <f t="shared" si="2"/>
        <v/>
      </c>
      <c r="H62" s="32" t="str">
        <f>정민지!S14</f>
        <v>미입력</v>
      </c>
      <c r="I62" s="36" t="str">
        <f>정민지!T14</f>
        <v/>
      </c>
      <c r="J62" s="37" t="str">
        <f>정민지!U14</f>
        <v/>
      </c>
      <c r="K62" s="38" t="str">
        <f t="shared" si="3"/>
        <v/>
      </c>
      <c r="L62" s="32" t="str">
        <f>정민지!W14</f>
        <v>미입력</v>
      </c>
      <c r="M62" s="40" t="str">
        <f>IF(정민지!X14="","",정민지!X14)</f>
        <v/>
      </c>
    </row>
    <row r="63" spans="1:13">
      <c r="A63" s="62" t="s">
        <v>65</v>
      </c>
      <c r="B63" s="62" t="s">
        <v>114</v>
      </c>
      <c r="C63" s="15" t="s">
        <v>101</v>
      </c>
      <c r="D63" s="35" t="str">
        <f>이재희!$B$2</f>
        <v>1년 이상</v>
      </c>
      <c r="E63" s="36" t="str">
        <f>이재희!P15</f>
        <v/>
      </c>
      <c r="F63" s="37" t="str">
        <f>이재희!Q15</f>
        <v/>
      </c>
      <c r="G63" s="38" t="str">
        <f t="shared" si="2"/>
        <v/>
      </c>
      <c r="H63" s="32" t="str">
        <f>이재희!S15</f>
        <v>미입력</v>
      </c>
      <c r="I63" s="36" t="str">
        <f>이재희!T15</f>
        <v/>
      </c>
      <c r="J63" s="37" t="str">
        <f>이재희!U15</f>
        <v/>
      </c>
      <c r="K63" s="38" t="str">
        <f t="shared" si="3"/>
        <v/>
      </c>
      <c r="L63" s="32" t="str">
        <f>이재희!W15</f>
        <v>미입력</v>
      </c>
      <c r="M63" s="40" t="str">
        <f>IF(이재희!X15="","",이재희!X15)</f>
        <v/>
      </c>
    </row>
    <row r="64" spans="1:13">
      <c r="A64" s="62"/>
      <c r="B64" s="62"/>
      <c r="C64" s="15" t="s">
        <v>102</v>
      </c>
      <c r="D64" s="35" t="str">
        <f>김가은!$B$2</f>
        <v>1년 이상</v>
      </c>
      <c r="E64" s="36" t="str">
        <f>김가은!P15</f>
        <v/>
      </c>
      <c r="F64" s="37" t="str">
        <f>김가은!Q15</f>
        <v/>
      </c>
      <c r="G64" s="38" t="str">
        <f t="shared" si="2"/>
        <v/>
      </c>
      <c r="H64" s="32" t="str">
        <f>김가은!S15</f>
        <v>미입력</v>
      </c>
      <c r="I64" s="36" t="str">
        <f>김가은!T15</f>
        <v/>
      </c>
      <c r="J64" s="37" t="str">
        <f>김가은!U15</f>
        <v/>
      </c>
      <c r="K64" s="38" t="str">
        <f t="shared" si="3"/>
        <v/>
      </c>
      <c r="L64" s="32" t="str">
        <f>김가은!W15</f>
        <v>미입력</v>
      </c>
      <c r="M64" s="40" t="str">
        <f>IF(김가은!X15="","",김가은!X15)</f>
        <v/>
      </c>
    </row>
    <row r="65" spans="1:13">
      <c r="A65" s="62"/>
      <c r="B65" s="62"/>
      <c r="C65" s="15" t="s">
        <v>103</v>
      </c>
      <c r="D65" s="35" t="str">
        <f>김보혜!$B$2</f>
        <v>1년 이상</v>
      </c>
      <c r="E65" s="36" t="str">
        <f>김보혜!P15</f>
        <v/>
      </c>
      <c r="F65" s="37" t="str">
        <f>김보혜!Q15</f>
        <v/>
      </c>
      <c r="G65" s="38" t="str">
        <f t="shared" si="2"/>
        <v/>
      </c>
      <c r="H65" s="32" t="str">
        <f>김보혜!S15</f>
        <v>미입력</v>
      </c>
      <c r="I65" s="36" t="str">
        <f>김보혜!T15</f>
        <v/>
      </c>
      <c r="J65" s="37" t="str">
        <f>김보혜!U15</f>
        <v/>
      </c>
      <c r="K65" s="38" t="str">
        <f t="shared" si="3"/>
        <v/>
      </c>
      <c r="L65" s="32" t="str">
        <f>김보혜!W15</f>
        <v>미입력</v>
      </c>
      <c r="M65" s="40" t="str">
        <f>IF(김보혜!X15="","",김보혜!X15)</f>
        <v/>
      </c>
    </row>
    <row r="66" spans="1:13">
      <c r="A66" s="62"/>
      <c r="B66" s="62"/>
      <c r="C66" s="15" t="s">
        <v>104</v>
      </c>
      <c r="D66" s="35" t="str">
        <f>박언정!$B$2</f>
        <v>1년 미만</v>
      </c>
      <c r="E66" s="36" t="str">
        <f>박언정!P15</f>
        <v/>
      </c>
      <c r="F66" s="37" t="str">
        <f>박언정!Q15</f>
        <v/>
      </c>
      <c r="G66" s="38" t="str">
        <f t="shared" si="2"/>
        <v/>
      </c>
      <c r="H66" s="32" t="str">
        <f>박언정!S15</f>
        <v>미입력</v>
      </c>
      <c r="I66" s="36" t="str">
        <f>박언정!T15</f>
        <v/>
      </c>
      <c r="J66" s="37" t="str">
        <f>박언정!U15</f>
        <v/>
      </c>
      <c r="K66" s="38" t="str">
        <f t="shared" si="3"/>
        <v/>
      </c>
      <c r="L66" s="32" t="str">
        <f>박언정!W15</f>
        <v>미입력</v>
      </c>
      <c r="M66" s="40" t="str">
        <f>IF(박언정!X15="","",박언정!X15)</f>
        <v/>
      </c>
    </row>
    <row r="67" spans="1:13">
      <c r="A67" s="62"/>
      <c r="B67" s="62"/>
      <c r="C67" s="15" t="s">
        <v>105</v>
      </c>
      <c r="D67" s="35" t="str">
        <f>강아름!$B$2</f>
        <v>1년 미만</v>
      </c>
      <c r="E67" s="36" t="str">
        <f>강아름!P15</f>
        <v/>
      </c>
      <c r="F67" s="37" t="str">
        <f>강아름!Q15</f>
        <v/>
      </c>
      <c r="G67" s="38" t="str">
        <f t="shared" ref="G67:G98" si="4">IF(OR($F67="",$E67=""),"",$F67/$E67)</f>
        <v/>
      </c>
      <c r="H67" s="32" t="str">
        <f>강아름!S15</f>
        <v>미입력</v>
      </c>
      <c r="I67" s="36" t="str">
        <f>강아름!T15</f>
        <v/>
      </c>
      <c r="J67" s="37" t="str">
        <f>강아름!U15</f>
        <v/>
      </c>
      <c r="K67" s="38" t="str">
        <f t="shared" ref="K67:K98" si="5">IF(OR($J67="",$I67=""),"",$J67/$I67)</f>
        <v/>
      </c>
      <c r="L67" s="32" t="str">
        <f>강아름!W15</f>
        <v>미입력</v>
      </c>
      <c r="M67" s="40" t="str">
        <f>IF(강아름!X15="","",강아름!X15)</f>
        <v/>
      </c>
    </row>
    <row r="68" spans="1:13">
      <c r="A68" s="62"/>
      <c r="B68" s="62"/>
      <c r="C68" s="15" t="s">
        <v>106</v>
      </c>
      <c r="D68" s="35" t="str">
        <f>정민지!$B$2</f>
        <v>1년 미만</v>
      </c>
      <c r="E68" s="36" t="str">
        <f>정민지!P15</f>
        <v/>
      </c>
      <c r="F68" s="37" t="str">
        <f>정민지!Q15</f>
        <v/>
      </c>
      <c r="G68" s="38" t="str">
        <f t="shared" si="4"/>
        <v/>
      </c>
      <c r="H68" s="32" t="str">
        <f>정민지!S15</f>
        <v>미입력</v>
      </c>
      <c r="I68" s="36" t="str">
        <f>정민지!T15</f>
        <v/>
      </c>
      <c r="J68" s="37" t="str">
        <f>정민지!U15</f>
        <v/>
      </c>
      <c r="K68" s="38" t="str">
        <f t="shared" si="5"/>
        <v/>
      </c>
      <c r="L68" s="32" t="str">
        <f>정민지!W15</f>
        <v>미입력</v>
      </c>
      <c r="M68" s="40" t="str">
        <f>IF(정민지!X15="","",정민지!X15)</f>
        <v/>
      </c>
    </row>
    <row r="69" spans="1:13">
      <c r="A69" s="62" t="s">
        <v>66</v>
      </c>
      <c r="B69" s="62" t="s">
        <v>115</v>
      </c>
      <c r="C69" s="15" t="s">
        <v>101</v>
      </c>
      <c r="D69" s="35" t="str">
        <f>이재희!$B$2</f>
        <v>1년 이상</v>
      </c>
      <c r="E69" s="36" t="str">
        <f>이재희!P16</f>
        <v/>
      </c>
      <c r="F69" s="37" t="str">
        <f>이재희!Q16</f>
        <v/>
      </c>
      <c r="G69" s="38" t="str">
        <f t="shared" si="4"/>
        <v/>
      </c>
      <c r="H69" s="32" t="str">
        <f>이재희!S16</f>
        <v>미입력</v>
      </c>
      <c r="I69" s="36" t="str">
        <f>이재희!T16</f>
        <v/>
      </c>
      <c r="J69" s="37" t="str">
        <f>이재희!U16</f>
        <v/>
      </c>
      <c r="K69" s="38" t="str">
        <f t="shared" si="5"/>
        <v/>
      </c>
      <c r="L69" s="32" t="str">
        <f>이재희!W16</f>
        <v>미입력</v>
      </c>
      <c r="M69" s="40" t="str">
        <f>IF(이재희!X16="","",이재희!X16)</f>
        <v/>
      </c>
    </row>
    <row r="70" spans="1:13">
      <c r="A70" s="62"/>
      <c r="B70" s="62"/>
      <c r="C70" s="15" t="s">
        <v>102</v>
      </c>
      <c r="D70" s="35" t="str">
        <f>김가은!$B$2</f>
        <v>1년 이상</v>
      </c>
      <c r="E70" s="36" t="str">
        <f>김가은!P16</f>
        <v/>
      </c>
      <c r="F70" s="37" t="str">
        <f>김가은!Q16</f>
        <v/>
      </c>
      <c r="G70" s="38" t="str">
        <f t="shared" si="4"/>
        <v/>
      </c>
      <c r="H70" s="32" t="str">
        <f>김가은!S16</f>
        <v>미입력</v>
      </c>
      <c r="I70" s="36" t="str">
        <f>김가은!T16</f>
        <v/>
      </c>
      <c r="J70" s="37" t="str">
        <f>김가은!U16</f>
        <v/>
      </c>
      <c r="K70" s="38" t="str">
        <f t="shared" si="5"/>
        <v/>
      </c>
      <c r="L70" s="32" t="str">
        <f>김가은!W16</f>
        <v>미입력</v>
      </c>
      <c r="M70" s="40" t="str">
        <f>IF(김가은!X16="","",김가은!X16)</f>
        <v/>
      </c>
    </row>
    <row r="71" spans="1:13">
      <c r="A71" s="62"/>
      <c r="B71" s="62"/>
      <c r="C71" s="15" t="s">
        <v>103</v>
      </c>
      <c r="D71" s="35" t="str">
        <f>김보혜!$B$2</f>
        <v>1년 이상</v>
      </c>
      <c r="E71" s="36" t="str">
        <f>김보혜!P16</f>
        <v/>
      </c>
      <c r="F71" s="37" t="str">
        <f>김보혜!Q16</f>
        <v/>
      </c>
      <c r="G71" s="38" t="str">
        <f t="shared" si="4"/>
        <v/>
      </c>
      <c r="H71" s="32" t="str">
        <f>김보혜!S16</f>
        <v>미입력</v>
      </c>
      <c r="I71" s="36" t="str">
        <f>김보혜!T16</f>
        <v/>
      </c>
      <c r="J71" s="37" t="str">
        <f>김보혜!U16</f>
        <v/>
      </c>
      <c r="K71" s="38" t="str">
        <f t="shared" si="5"/>
        <v/>
      </c>
      <c r="L71" s="32" t="str">
        <f>김보혜!W16</f>
        <v>미입력</v>
      </c>
      <c r="M71" s="40" t="str">
        <f>IF(김보혜!X16="","",김보혜!X16)</f>
        <v/>
      </c>
    </row>
    <row r="72" spans="1:13">
      <c r="A72" s="62"/>
      <c r="B72" s="62"/>
      <c r="C72" s="15" t="s">
        <v>104</v>
      </c>
      <c r="D72" s="35" t="str">
        <f>박언정!$B$2</f>
        <v>1년 미만</v>
      </c>
      <c r="E72" s="36" t="str">
        <f>박언정!P16</f>
        <v/>
      </c>
      <c r="F72" s="37" t="str">
        <f>박언정!Q16</f>
        <v/>
      </c>
      <c r="G72" s="38" t="str">
        <f t="shared" si="4"/>
        <v/>
      </c>
      <c r="H72" s="32" t="str">
        <f>박언정!S16</f>
        <v>미입력</v>
      </c>
      <c r="I72" s="36" t="str">
        <f>박언정!T16</f>
        <v/>
      </c>
      <c r="J72" s="37" t="str">
        <f>박언정!U16</f>
        <v/>
      </c>
      <c r="K72" s="38" t="str">
        <f t="shared" si="5"/>
        <v/>
      </c>
      <c r="L72" s="32" t="str">
        <f>박언정!W16</f>
        <v>미입력</v>
      </c>
      <c r="M72" s="40" t="str">
        <f>IF(박언정!X16="","",박언정!X16)</f>
        <v/>
      </c>
    </row>
    <row r="73" spans="1:13">
      <c r="A73" s="62"/>
      <c r="B73" s="62"/>
      <c r="C73" s="15" t="s">
        <v>105</v>
      </c>
      <c r="D73" s="35" t="str">
        <f>강아름!$B$2</f>
        <v>1년 미만</v>
      </c>
      <c r="E73" s="36" t="str">
        <f>강아름!P16</f>
        <v/>
      </c>
      <c r="F73" s="37" t="str">
        <f>강아름!Q16</f>
        <v/>
      </c>
      <c r="G73" s="38" t="str">
        <f t="shared" si="4"/>
        <v/>
      </c>
      <c r="H73" s="32" t="str">
        <f>강아름!S16</f>
        <v>미입력</v>
      </c>
      <c r="I73" s="36" t="str">
        <f>강아름!T16</f>
        <v/>
      </c>
      <c r="J73" s="37" t="str">
        <f>강아름!U16</f>
        <v/>
      </c>
      <c r="K73" s="38" t="str">
        <f t="shared" si="5"/>
        <v/>
      </c>
      <c r="L73" s="32" t="str">
        <f>강아름!W16</f>
        <v>미입력</v>
      </c>
      <c r="M73" s="40" t="str">
        <f>IF(강아름!X16="","",강아름!X16)</f>
        <v/>
      </c>
    </row>
    <row r="74" spans="1:13">
      <c r="A74" s="62"/>
      <c r="B74" s="62"/>
      <c r="C74" s="15" t="s">
        <v>106</v>
      </c>
      <c r="D74" s="35" t="str">
        <f>정민지!$B$2</f>
        <v>1년 미만</v>
      </c>
      <c r="E74" s="36" t="str">
        <f>정민지!P16</f>
        <v/>
      </c>
      <c r="F74" s="37" t="str">
        <f>정민지!Q16</f>
        <v/>
      </c>
      <c r="G74" s="38" t="str">
        <f t="shared" si="4"/>
        <v/>
      </c>
      <c r="H74" s="32" t="str">
        <f>정민지!S16</f>
        <v>미입력</v>
      </c>
      <c r="I74" s="36" t="str">
        <f>정민지!T16</f>
        <v/>
      </c>
      <c r="J74" s="37" t="str">
        <f>정민지!U16</f>
        <v/>
      </c>
      <c r="K74" s="38" t="str">
        <f t="shared" si="5"/>
        <v/>
      </c>
      <c r="L74" s="32" t="str">
        <f>정민지!W16</f>
        <v>미입력</v>
      </c>
      <c r="M74" s="40" t="str">
        <f>IF(정민지!X16="","",정민지!X16)</f>
        <v/>
      </c>
    </row>
    <row r="75" spans="1:13">
      <c r="A75" s="62" t="s">
        <v>67</v>
      </c>
      <c r="B75" s="62" t="s">
        <v>116</v>
      </c>
      <c r="C75" s="15" t="s">
        <v>101</v>
      </c>
      <c r="D75" s="35" t="str">
        <f>이재희!$B$2</f>
        <v>1년 이상</v>
      </c>
      <c r="E75" s="36" t="str">
        <f>이재희!P17</f>
        <v/>
      </c>
      <c r="F75" s="37" t="str">
        <f>이재희!Q17</f>
        <v/>
      </c>
      <c r="G75" s="38" t="str">
        <f t="shared" si="4"/>
        <v/>
      </c>
      <c r="H75" s="32" t="str">
        <f>이재희!S17</f>
        <v>미입력</v>
      </c>
      <c r="I75" s="36" t="str">
        <f>이재희!T17</f>
        <v/>
      </c>
      <c r="J75" s="37" t="str">
        <f>이재희!U17</f>
        <v/>
      </c>
      <c r="K75" s="38" t="str">
        <f t="shared" si="5"/>
        <v/>
      </c>
      <c r="L75" s="32" t="str">
        <f>이재희!W17</f>
        <v>미입력</v>
      </c>
      <c r="M75" s="40" t="str">
        <f>IF(이재희!X17="","",이재희!X17)</f>
        <v/>
      </c>
    </row>
    <row r="76" spans="1:13">
      <c r="A76" s="62"/>
      <c r="B76" s="62"/>
      <c r="C76" s="15" t="s">
        <v>102</v>
      </c>
      <c r="D76" s="35" t="str">
        <f>김가은!$B$2</f>
        <v>1년 이상</v>
      </c>
      <c r="E76" s="36" t="str">
        <f>김가은!P17</f>
        <v/>
      </c>
      <c r="F76" s="37" t="str">
        <f>김가은!Q17</f>
        <v/>
      </c>
      <c r="G76" s="38" t="str">
        <f t="shared" si="4"/>
        <v/>
      </c>
      <c r="H76" s="32" t="str">
        <f>김가은!S17</f>
        <v>미입력</v>
      </c>
      <c r="I76" s="36" t="str">
        <f>김가은!T17</f>
        <v/>
      </c>
      <c r="J76" s="37" t="str">
        <f>김가은!U17</f>
        <v/>
      </c>
      <c r="K76" s="38" t="str">
        <f t="shared" si="5"/>
        <v/>
      </c>
      <c r="L76" s="32" t="str">
        <f>김가은!W17</f>
        <v>미입력</v>
      </c>
      <c r="M76" s="40" t="str">
        <f>IF(김가은!X17="","",김가은!X17)</f>
        <v/>
      </c>
    </row>
    <row r="77" spans="1:13">
      <c r="A77" s="62"/>
      <c r="B77" s="62"/>
      <c r="C77" s="15" t="s">
        <v>103</v>
      </c>
      <c r="D77" s="35" t="str">
        <f>김보혜!$B$2</f>
        <v>1년 이상</v>
      </c>
      <c r="E77" s="36" t="str">
        <f>김보혜!P17</f>
        <v/>
      </c>
      <c r="F77" s="37" t="str">
        <f>김보혜!Q17</f>
        <v/>
      </c>
      <c r="G77" s="38" t="str">
        <f t="shared" si="4"/>
        <v/>
      </c>
      <c r="H77" s="32" t="str">
        <f>김보혜!S17</f>
        <v>미입력</v>
      </c>
      <c r="I77" s="36" t="str">
        <f>김보혜!T17</f>
        <v/>
      </c>
      <c r="J77" s="37" t="str">
        <f>김보혜!U17</f>
        <v/>
      </c>
      <c r="K77" s="38" t="str">
        <f t="shared" si="5"/>
        <v/>
      </c>
      <c r="L77" s="32" t="str">
        <f>김보혜!W17</f>
        <v>미입력</v>
      </c>
      <c r="M77" s="40" t="str">
        <f>IF(김보혜!X17="","",김보혜!X17)</f>
        <v/>
      </c>
    </row>
    <row r="78" spans="1:13">
      <c r="A78" s="62"/>
      <c r="B78" s="62"/>
      <c r="C78" s="15" t="s">
        <v>104</v>
      </c>
      <c r="D78" s="35" t="str">
        <f>박언정!$B$2</f>
        <v>1년 미만</v>
      </c>
      <c r="E78" s="36" t="str">
        <f>박언정!P17</f>
        <v/>
      </c>
      <c r="F78" s="37" t="str">
        <f>박언정!Q17</f>
        <v/>
      </c>
      <c r="G78" s="38" t="str">
        <f t="shared" si="4"/>
        <v/>
      </c>
      <c r="H78" s="32" t="str">
        <f>박언정!S17</f>
        <v>미입력</v>
      </c>
      <c r="I78" s="36" t="str">
        <f>박언정!T17</f>
        <v/>
      </c>
      <c r="J78" s="37" t="str">
        <f>박언정!U17</f>
        <v/>
      </c>
      <c r="K78" s="38" t="str">
        <f t="shared" si="5"/>
        <v/>
      </c>
      <c r="L78" s="32" t="str">
        <f>박언정!W17</f>
        <v>미입력</v>
      </c>
      <c r="M78" s="40" t="str">
        <f>IF(박언정!X17="","",박언정!X17)</f>
        <v/>
      </c>
    </row>
    <row r="79" spans="1:13">
      <c r="A79" s="62"/>
      <c r="B79" s="62"/>
      <c r="C79" s="15" t="s">
        <v>105</v>
      </c>
      <c r="D79" s="35" t="str">
        <f>강아름!$B$2</f>
        <v>1년 미만</v>
      </c>
      <c r="E79" s="36" t="str">
        <f>강아름!P17</f>
        <v/>
      </c>
      <c r="F79" s="37" t="str">
        <f>강아름!Q17</f>
        <v/>
      </c>
      <c r="G79" s="38" t="str">
        <f t="shared" si="4"/>
        <v/>
      </c>
      <c r="H79" s="32" t="str">
        <f>강아름!S17</f>
        <v>미입력</v>
      </c>
      <c r="I79" s="36" t="str">
        <f>강아름!T17</f>
        <v/>
      </c>
      <c r="J79" s="37" t="str">
        <f>강아름!U17</f>
        <v/>
      </c>
      <c r="K79" s="38" t="str">
        <f t="shared" si="5"/>
        <v/>
      </c>
      <c r="L79" s="32" t="str">
        <f>강아름!W17</f>
        <v>미입력</v>
      </c>
      <c r="M79" s="40" t="str">
        <f>IF(강아름!X17="","",강아름!X17)</f>
        <v/>
      </c>
    </row>
    <row r="80" spans="1:13">
      <c r="A80" s="62"/>
      <c r="B80" s="62"/>
      <c r="C80" s="15" t="s">
        <v>106</v>
      </c>
      <c r="D80" s="35" t="str">
        <f>정민지!$B$2</f>
        <v>1년 미만</v>
      </c>
      <c r="E80" s="36" t="str">
        <f>정민지!P17</f>
        <v/>
      </c>
      <c r="F80" s="37" t="str">
        <f>정민지!Q17</f>
        <v/>
      </c>
      <c r="G80" s="38" t="str">
        <f t="shared" si="4"/>
        <v/>
      </c>
      <c r="H80" s="32" t="str">
        <f>정민지!S17</f>
        <v>미입력</v>
      </c>
      <c r="I80" s="36" t="str">
        <f>정민지!T17</f>
        <v/>
      </c>
      <c r="J80" s="37" t="str">
        <f>정민지!U17</f>
        <v/>
      </c>
      <c r="K80" s="38" t="str">
        <f t="shared" si="5"/>
        <v/>
      </c>
      <c r="L80" s="32" t="str">
        <f>정민지!W17</f>
        <v>미입력</v>
      </c>
      <c r="M80" s="40" t="str">
        <f>IF(정민지!X17="","",정민지!X17)</f>
        <v/>
      </c>
    </row>
    <row r="81" spans="1:13">
      <c r="A81" s="62" t="s">
        <v>68</v>
      </c>
      <c r="B81" s="62" t="s">
        <v>117</v>
      </c>
      <c r="C81" s="15" t="s">
        <v>101</v>
      </c>
      <c r="D81" s="35" t="str">
        <f>이재희!$B$2</f>
        <v>1년 이상</v>
      </c>
      <c r="E81" s="36" t="str">
        <f>이재희!P18</f>
        <v/>
      </c>
      <c r="F81" s="37" t="str">
        <f>이재희!Q18</f>
        <v/>
      </c>
      <c r="G81" s="38" t="str">
        <f t="shared" si="4"/>
        <v/>
      </c>
      <c r="H81" s="32" t="str">
        <f>이재희!S18</f>
        <v>미입력</v>
      </c>
      <c r="I81" s="36" t="str">
        <f>이재희!T18</f>
        <v/>
      </c>
      <c r="J81" s="37" t="str">
        <f>이재희!U18</f>
        <v/>
      </c>
      <c r="K81" s="38" t="str">
        <f t="shared" si="5"/>
        <v/>
      </c>
      <c r="L81" s="32" t="str">
        <f>이재희!W18</f>
        <v>미입력</v>
      </c>
      <c r="M81" s="40" t="str">
        <f>IF(이재희!X18="","",이재희!X18)</f>
        <v/>
      </c>
    </row>
    <row r="82" spans="1:13">
      <c r="A82" s="62"/>
      <c r="B82" s="62"/>
      <c r="C82" s="15" t="s">
        <v>102</v>
      </c>
      <c r="D82" s="35" t="str">
        <f>김가은!$B$2</f>
        <v>1년 이상</v>
      </c>
      <c r="E82" s="36" t="str">
        <f>김가은!P18</f>
        <v/>
      </c>
      <c r="F82" s="37" t="str">
        <f>김가은!Q18</f>
        <v/>
      </c>
      <c r="G82" s="38" t="str">
        <f t="shared" si="4"/>
        <v/>
      </c>
      <c r="H82" s="32" t="str">
        <f>김가은!S18</f>
        <v>미입력</v>
      </c>
      <c r="I82" s="36" t="str">
        <f>김가은!T18</f>
        <v/>
      </c>
      <c r="J82" s="37" t="str">
        <f>김가은!U18</f>
        <v/>
      </c>
      <c r="K82" s="38" t="str">
        <f t="shared" si="5"/>
        <v/>
      </c>
      <c r="L82" s="32" t="str">
        <f>김가은!W18</f>
        <v>미입력</v>
      </c>
      <c r="M82" s="40" t="str">
        <f>IF(김가은!X18="","",김가은!X18)</f>
        <v/>
      </c>
    </row>
    <row r="83" spans="1:13">
      <c r="A83" s="62"/>
      <c r="B83" s="62"/>
      <c r="C83" s="15" t="s">
        <v>103</v>
      </c>
      <c r="D83" s="35" t="str">
        <f>김보혜!$B$2</f>
        <v>1년 이상</v>
      </c>
      <c r="E83" s="36" t="str">
        <f>김보혜!P18</f>
        <v/>
      </c>
      <c r="F83" s="37" t="str">
        <f>김보혜!Q18</f>
        <v/>
      </c>
      <c r="G83" s="38" t="str">
        <f t="shared" si="4"/>
        <v/>
      </c>
      <c r="H83" s="32" t="str">
        <f>김보혜!S18</f>
        <v>미입력</v>
      </c>
      <c r="I83" s="36" t="str">
        <f>김보혜!T18</f>
        <v/>
      </c>
      <c r="J83" s="37" t="str">
        <f>김보혜!U18</f>
        <v/>
      </c>
      <c r="K83" s="38" t="str">
        <f t="shared" si="5"/>
        <v/>
      </c>
      <c r="L83" s="32" t="str">
        <f>김보혜!W18</f>
        <v>미입력</v>
      </c>
      <c r="M83" s="40" t="str">
        <f>IF(김보혜!X18="","",김보혜!X18)</f>
        <v/>
      </c>
    </row>
    <row r="84" spans="1:13">
      <c r="A84" s="62"/>
      <c r="B84" s="62"/>
      <c r="C84" s="15" t="s">
        <v>104</v>
      </c>
      <c r="D84" s="35" t="str">
        <f>박언정!$B$2</f>
        <v>1년 미만</v>
      </c>
      <c r="E84" s="36" t="str">
        <f>박언정!P18</f>
        <v/>
      </c>
      <c r="F84" s="37" t="str">
        <f>박언정!Q18</f>
        <v/>
      </c>
      <c r="G84" s="38" t="str">
        <f t="shared" si="4"/>
        <v/>
      </c>
      <c r="H84" s="32" t="str">
        <f>박언정!S18</f>
        <v>미입력</v>
      </c>
      <c r="I84" s="36" t="str">
        <f>박언정!T18</f>
        <v/>
      </c>
      <c r="J84" s="37" t="str">
        <f>박언정!U18</f>
        <v/>
      </c>
      <c r="K84" s="38" t="str">
        <f t="shared" si="5"/>
        <v/>
      </c>
      <c r="L84" s="32" t="str">
        <f>박언정!W18</f>
        <v>미입력</v>
      </c>
      <c r="M84" s="40" t="str">
        <f>IF(박언정!X18="","",박언정!X18)</f>
        <v/>
      </c>
    </row>
    <row r="85" spans="1:13">
      <c r="A85" s="62"/>
      <c r="B85" s="62"/>
      <c r="C85" s="15" t="s">
        <v>105</v>
      </c>
      <c r="D85" s="35" t="str">
        <f>강아름!$B$2</f>
        <v>1년 미만</v>
      </c>
      <c r="E85" s="36" t="str">
        <f>강아름!P18</f>
        <v/>
      </c>
      <c r="F85" s="37" t="str">
        <f>강아름!Q18</f>
        <v/>
      </c>
      <c r="G85" s="38" t="str">
        <f t="shared" si="4"/>
        <v/>
      </c>
      <c r="H85" s="32" t="str">
        <f>강아름!S18</f>
        <v>미입력</v>
      </c>
      <c r="I85" s="36" t="str">
        <f>강아름!T18</f>
        <v/>
      </c>
      <c r="J85" s="37" t="str">
        <f>강아름!U18</f>
        <v/>
      </c>
      <c r="K85" s="38" t="str">
        <f t="shared" si="5"/>
        <v/>
      </c>
      <c r="L85" s="32" t="str">
        <f>강아름!W18</f>
        <v>미입력</v>
      </c>
      <c r="M85" s="40" t="str">
        <f>IF(강아름!X18="","",강아름!X18)</f>
        <v/>
      </c>
    </row>
    <row r="86" spans="1:13">
      <c r="A86" s="62"/>
      <c r="B86" s="62"/>
      <c r="C86" s="15" t="s">
        <v>106</v>
      </c>
      <c r="D86" s="35" t="str">
        <f>정민지!$B$2</f>
        <v>1년 미만</v>
      </c>
      <c r="E86" s="36" t="str">
        <f>정민지!P18</f>
        <v/>
      </c>
      <c r="F86" s="37" t="str">
        <f>정민지!Q18</f>
        <v/>
      </c>
      <c r="G86" s="38" t="str">
        <f t="shared" si="4"/>
        <v/>
      </c>
      <c r="H86" s="32" t="str">
        <f>정민지!S18</f>
        <v>미입력</v>
      </c>
      <c r="I86" s="36" t="str">
        <f>정민지!T18</f>
        <v/>
      </c>
      <c r="J86" s="37" t="str">
        <f>정민지!U18</f>
        <v/>
      </c>
      <c r="K86" s="38" t="str">
        <f t="shared" si="5"/>
        <v/>
      </c>
      <c r="L86" s="32" t="str">
        <f>정민지!W18</f>
        <v>미입력</v>
      </c>
      <c r="M86" s="40" t="str">
        <f>IF(정민지!X18="","",정민지!X18)</f>
        <v/>
      </c>
    </row>
    <row r="87" spans="1:13">
      <c r="A87" s="62" t="s">
        <v>69</v>
      </c>
      <c r="B87" s="62" t="s">
        <v>118</v>
      </c>
      <c r="C87" s="15" t="s">
        <v>101</v>
      </c>
      <c r="D87" s="35" t="str">
        <f>이재희!$B$2</f>
        <v>1년 이상</v>
      </c>
      <c r="E87" s="36" t="str">
        <f>이재희!P19</f>
        <v/>
      </c>
      <c r="F87" s="37" t="str">
        <f>이재희!Q19</f>
        <v/>
      </c>
      <c r="G87" s="38" t="str">
        <f t="shared" si="4"/>
        <v/>
      </c>
      <c r="H87" s="32" t="str">
        <f>이재희!S19</f>
        <v>미입력</v>
      </c>
      <c r="I87" s="36" t="str">
        <f>이재희!T19</f>
        <v/>
      </c>
      <c r="J87" s="37" t="str">
        <f>이재희!U19</f>
        <v/>
      </c>
      <c r="K87" s="38" t="str">
        <f t="shared" si="5"/>
        <v/>
      </c>
      <c r="L87" s="32" t="str">
        <f>이재희!W19</f>
        <v>미입력</v>
      </c>
      <c r="M87" s="40" t="str">
        <f>IF(이재희!X19="","",이재희!X19)</f>
        <v/>
      </c>
    </row>
    <row r="88" spans="1:13">
      <c r="A88" s="62"/>
      <c r="B88" s="62"/>
      <c r="C88" s="15" t="s">
        <v>102</v>
      </c>
      <c r="D88" s="35" t="str">
        <f>김가은!$B$2</f>
        <v>1년 이상</v>
      </c>
      <c r="E88" s="36" t="str">
        <f>김가은!P19</f>
        <v/>
      </c>
      <c r="F88" s="37" t="str">
        <f>김가은!Q19</f>
        <v/>
      </c>
      <c r="G88" s="38" t="str">
        <f t="shared" si="4"/>
        <v/>
      </c>
      <c r="H88" s="32" t="str">
        <f>김가은!S19</f>
        <v>미입력</v>
      </c>
      <c r="I88" s="36" t="str">
        <f>김가은!T19</f>
        <v/>
      </c>
      <c r="J88" s="37" t="str">
        <f>김가은!U19</f>
        <v/>
      </c>
      <c r="K88" s="38" t="str">
        <f t="shared" si="5"/>
        <v/>
      </c>
      <c r="L88" s="32" t="str">
        <f>김가은!W19</f>
        <v>미입력</v>
      </c>
      <c r="M88" s="40" t="str">
        <f>IF(김가은!X19="","",김가은!X19)</f>
        <v/>
      </c>
    </row>
    <row r="89" spans="1:13">
      <c r="A89" s="62"/>
      <c r="B89" s="62"/>
      <c r="C89" s="15" t="s">
        <v>103</v>
      </c>
      <c r="D89" s="35" t="str">
        <f>김보혜!$B$2</f>
        <v>1년 이상</v>
      </c>
      <c r="E89" s="36" t="str">
        <f>김보혜!P19</f>
        <v/>
      </c>
      <c r="F89" s="37" t="str">
        <f>김보혜!Q19</f>
        <v/>
      </c>
      <c r="G89" s="38" t="str">
        <f t="shared" si="4"/>
        <v/>
      </c>
      <c r="H89" s="32" t="str">
        <f>김보혜!S19</f>
        <v>미입력</v>
      </c>
      <c r="I89" s="36" t="str">
        <f>김보혜!T19</f>
        <v/>
      </c>
      <c r="J89" s="37" t="str">
        <f>김보혜!U19</f>
        <v/>
      </c>
      <c r="K89" s="38" t="str">
        <f t="shared" si="5"/>
        <v/>
      </c>
      <c r="L89" s="32" t="str">
        <f>김보혜!W19</f>
        <v>미입력</v>
      </c>
      <c r="M89" s="40" t="str">
        <f>IF(김보혜!X19="","",김보혜!X19)</f>
        <v/>
      </c>
    </row>
    <row r="90" spans="1:13">
      <c r="A90" s="62"/>
      <c r="B90" s="62"/>
      <c r="C90" s="15" t="s">
        <v>104</v>
      </c>
      <c r="D90" s="35" t="str">
        <f>박언정!$B$2</f>
        <v>1년 미만</v>
      </c>
      <c r="E90" s="36" t="str">
        <f>박언정!P19</f>
        <v/>
      </c>
      <c r="F90" s="37" t="str">
        <f>박언정!Q19</f>
        <v/>
      </c>
      <c r="G90" s="38" t="str">
        <f t="shared" si="4"/>
        <v/>
      </c>
      <c r="H90" s="32" t="str">
        <f>박언정!S19</f>
        <v>미입력</v>
      </c>
      <c r="I90" s="36" t="str">
        <f>박언정!T19</f>
        <v/>
      </c>
      <c r="J90" s="37" t="str">
        <f>박언정!U19</f>
        <v/>
      </c>
      <c r="K90" s="38" t="str">
        <f t="shared" si="5"/>
        <v/>
      </c>
      <c r="L90" s="32" t="str">
        <f>박언정!W19</f>
        <v>미입력</v>
      </c>
      <c r="M90" s="40" t="str">
        <f>IF(박언정!X19="","",박언정!X19)</f>
        <v/>
      </c>
    </row>
    <row r="91" spans="1:13">
      <c r="A91" s="62"/>
      <c r="B91" s="62"/>
      <c r="C91" s="15" t="s">
        <v>105</v>
      </c>
      <c r="D91" s="35" t="str">
        <f>강아름!$B$2</f>
        <v>1년 미만</v>
      </c>
      <c r="E91" s="36" t="str">
        <f>강아름!P19</f>
        <v/>
      </c>
      <c r="F91" s="37" t="str">
        <f>강아름!Q19</f>
        <v/>
      </c>
      <c r="G91" s="38" t="str">
        <f t="shared" si="4"/>
        <v/>
      </c>
      <c r="H91" s="32" t="str">
        <f>강아름!S19</f>
        <v>미입력</v>
      </c>
      <c r="I91" s="36" t="str">
        <f>강아름!T19</f>
        <v/>
      </c>
      <c r="J91" s="37" t="str">
        <f>강아름!U19</f>
        <v/>
      </c>
      <c r="K91" s="38" t="str">
        <f t="shared" si="5"/>
        <v/>
      </c>
      <c r="L91" s="32" t="str">
        <f>강아름!W19</f>
        <v>미입력</v>
      </c>
      <c r="M91" s="40" t="str">
        <f>IF(강아름!X19="","",강아름!X19)</f>
        <v/>
      </c>
    </row>
    <row r="92" spans="1:13">
      <c r="A92" s="62"/>
      <c r="B92" s="62"/>
      <c r="C92" s="15" t="s">
        <v>106</v>
      </c>
      <c r="D92" s="35" t="str">
        <f>정민지!$B$2</f>
        <v>1년 미만</v>
      </c>
      <c r="E92" s="36" t="str">
        <f>정민지!P19</f>
        <v/>
      </c>
      <c r="F92" s="37" t="str">
        <f>정민지!Q19</f>
        <v/>
      </c>
      <c r="G92" s="38" t="str">
        <f t="shared" si="4"/>
        <v/>
      </c>
      <c r="H92" s="32" t="str">
        <f>정민지!S19</f>
        <v>미입력</v>
      </c>
      <c r="I92" s="36" t="str">
        <f>정민지!T19</f>
        <v/>
      </c>
      <c r="J92" s="37" t="str">
        <f>정민지!U19</f>
        <v/>
      </c>
      <c r="K92" s="38" t="str">
        <f t="shared" si="5"/>
        <v/>
      </c>
      <c r="L92" s="32" t="str">
        <f>정민지!W19</f>
        <v>미입력</v>
      </c>
      <c r="M92" s="40" t="str">
        <f>IF(정민지!X19="","",정민지!X19)</f>
        <v/>
      </c>
    </row>
    <row r="93" spans="1:13">
      <c r="A93" s="62" t="s">
        <v>70</v>
      </c>
      <c r="B93" s="62" t="s">
        <v>119</v>
      </c>
      <c r="C93" s="15" t="s">
        <v>101</v>
      </c>
      <c r="D93" s="35" t="str">
        <f>이재희!$B$2</f>
        <v>1년 이상</v>
      </c>
      <c r="E93" s="36" t="str">
        <f>이재희!P20</f>
        <v/>
      </c>
      <c r="F93" s="37" t="str">
        <f>이재희!Q20</f>
        <v/>
      </c>
      <c r="G93" s="38" t="str">
        <f t="shared" si="4"/>
        <v/>
      </c>
      <c r="H93" s="32" t="str">
        <f>이재희!S20</f>
        <v>미입력</v>
      </c>
      <c r="I93" s="36" t="str">
        <f>이재희!T20</f>
        <v/>
      </c>
      <c r="J93" s="37" t="str">
        <f>이재희!U20</f>
        <v/>
      </c>
      <c r="K93" s="38" t="str">
        <f t="shared" si="5"/>
        <v/>
      </c>
      <c r="L93" s="32" t="str">
        <f>이재희!W20</f>
        <v>미입력</v>
      </c>
      <c r="M93" s="40" t="str">
        <f>IF(이재희!X20="","",이재희!X20)</f>
        <v/>
      </c>
    </row>
    <row r="94" spans="1:13">
      <c r="A94" s="62"/>
      <c r="B94" s="62"/>
      <c r="C94" s="15" t="s">
        <v>102</v>
      </c>
      <c r="D94" s="35" t="str">
        <f>김가은!$B$2</f>
        <v>1년 이상</v>
      </c>
      <c r="E94" s="36" t="str">
        <f>김가은!P20</f>
        <v/>
      </c>
      <c r="F94" s="37" t="str">
        <f>김가은!Q20</f>
        <v/>
      </c>
      <c r="G94" s="38" t="str">
        <f t="shared" si="4"/>
        <v/>
      </c>
      <c r="H94" s="32" t="str">
        <f>김가은!S20</f>
        <v>미입력</v>
      </c>
      <c r="I94" s="36" t="str">
        <f>김가은!T20</f>
        <v/>
      </c>
      <c r="J94" s="37" t="str">
        <f>김가은!U20</f>
        <v/>
      </c>
      <c r="K94" s="38" t="str">
        <f t="shared" si="5"/>
        <v/>
      </c>
      <c r="L94" s="32" t="str">
        <f>김가은!W20</f>
        <v>미입력</v>
      </c>
      <c r="M94" s="40" t="str">
        <f>IF(김가은!X20="","",김가은!X20)</f>
        <v/>
      </c>
    </row>
    <row r="95" spans="1:13">
      <c r="A95" s="62"/>
      <c r="B95" s="62"/>
      <c r="C95" s="15" t="s">
        <v>103</v>
      </c>
      <c r="D95" s="35" t="str">
        <f>김보혜!$B$2</f>
        <v>1년 이상</v>
      </c>
      <c r="E95" s="36" t="str">
        <f>김보혜!P20</f>
        <v/>
      </c>
      <c r="F95" s="37" t="str">
        <f>김보혜!Q20</f>
        <v/>
      </c>
      <c r="G95" s="38" t="str">
        <f t="shared" si="4"/>
        <v/>
      </c>
      <c r="H95" s="32" t="str">
        <f>김보혜!S20</f>
        <v>미입력</v>
      </c>
      <c r="I95" s="36" t="str">
        <f>김보혜!T20</f>
        <v/>
      </c>
      <c r="J95" s="37" t="str">
        <f>김보혜!U20</f>
        <v/>
      </c>
      <c r="K95" s="38" t="str">
        <f t="shared" si="5"/>
        <v/>
      </c>
      <c r="L95" s="32" t="str">
        <f>김보혜!W20</f>
        <v>미입력</v>
      </c>
      <c r="M95" s="40" t="str">
        <f>IF(김보혜!X20="","",김보혜!X20)</f>
        <v/>
      </c>
    </row>
    <row r="96" spans="1:13">
      <c r="A96" s="62"/>
      <c r="B96" s="62"/>
      <c r="C96" s="15" t="s">
        <v>104</v>
      </c>
      <c r="D96" s="35" t="str">
        <f>박언정!$B$2</f>
        <v>1년 미만</v>
      </c>
      <c r="E96" s="36" t="str">
        <f>박언정!P20</f>
        <v/>
      </c>
      <c r="F96" s="37" t="str">
        <f>박언정!Q20</f>
        <v/>
      </c>
      <c r="G96" s="38" t="str">
        <f t="shared" si="4"/>
        <v/>
      </c>
      <c r="H96" s="32" t="str">
        <f>박언정!S20</f>
        <v>미입력</v>
      </c>
      <c r="I96" s="36" t="str">
        <f>박언정!T20</f>
        <v/>
      </c>
      <c r="J96" s="37" t="str">
        <f>박언정!U20</f>
        <v/>
      </c>
      <c r="K96" s="38" t="str">
        <f t="shared" si="5"/>
        <v/>
      </c>
      <c r="L96" s="32" t="str">
        <f>박언정!W20</f>
        <v>미입력</v>
      </c>
      <c r="M96" s="40" t="str">
        <f>IF(박언정!X20="","",박언정!X20)</f>
        <v/>
      </c>
    </row>
    <row r="97" spans="1:13">
      <c r="A97" s="62"/>
      <c r="B97" s="62"/>
      <c r="C97" s="15" t="s">
        <v>105</v>
      </c>
      <c r="D97" s="35" t="str">
        <f>강아름!$B$2</f>
        <v>1년 미만</v>
      </c>
      <c r="E97" s="36" t="str">
        <f>강아름!P20</f>
        <v/>
      </c>
      <c r="F97" s="37" t="str">
        <f>강아름!Q20</f>
        <v/>
      </c>
      <c r="G97" s="38" t="str">
        <f t="shared" si="4"/>
        <v/>
      </c>
      <c r="H97" s="32" t="str">
        <f>강아름!S20</f>
        <v>미입력</v>
      </c>
      <c r="I97" s="36" t="str">
        <f>강아름!T20</f>
        <v/>
      </c>
      <c r="J97" s="37" t="str">
        <f>강아름!U20</f>
        <v/>
      </c>
      <c r="K97" s="38" t="str">
        <f t="shared" si="5"/>
        <v/>
      </c>
      <c r="L97" s="32" t="str">
        <f>강아름!W20</f>
        <v>미입력</v>
      </c>
      <c r="M97" s="40" t="str">
        <f>IF(강아름!X20="","",강아름!X20)</f>
        <v/>
      </c>
    </row>
    <row r="98" spans="1:13">
      <c r="A98" s="62"/>
      <c r="B98" s="62"/>
      <c r="C98" s="15" t="s">
        <v>106</v>
      </c>
      <c r="D98" s="35" t="str">
        <f>정민지!$B$2</f>
        <v>1년 미만</v>
      </c>
      <c r="E98" s="36" t="str">
        <f>정민지!P20</f>
        <v/>
      </c>
      <c r="F98" s="37" t="str">
        <f>정민지!Q20</f>
        <v/>
      </c>
      <c r="G98" s="38" t="str">
        <f t="shared" si="4"/>
        <v/>
      </c>
      <c r="H98" s="32" t="str">
        <f>정민지!S20</f>
        <v>미입력</v>
      </c>
      <c r="I98" s="36" t="str">
        <f>정민지!T20</f>
        <v/>
      </c>
      <c r="J98" s="37" t="str">
        <f>정민지!U20</f>
        <v/>
      </c>
      <c r="K98" s="38" t="str">
        <f t="shared" si="5"/>
        <v/>
      </c>
      <c r="L98" s="32" t="str">
        <f>정민지!W20</f>
        <v>미입력</v>
      </c>
      <c r="M98" s="40" t="str">
        <f>IF(정민지!X20="","",정민지!X20)</f>
        <v/>
      </c>
    </row>
    <row r="99" spans="1:13">
      <c r="A99" s="62" t="s">
        <v>71</v>
      </c>
      <c r="B99" s="62" t="s">
        <v>120</v>
      </c>
      <c r="C99" s="15" t="s">
        <v>101</v>
      </c>
      <c r="D99" s="35" t="str">
        <f>이재희!$B$2</f>
        <v>1년 이상</v>
      </c>
      <c r="E99" s="36" t="str">
        <f>이재희!P21</f>
        <v/>
      </c>
      <c r="F99" s="37" t="str">
        <f>이재희!Q21</f>
        <v/>
      </c>
      <c r="G99" s="38" t="str">
        <f t="shared" ref="G99:G122" si="6">IF(OR($F99="",$E99=""),"",$F99/$E99)</f>
        <v/>
      </c>
      <c r="H99" s="32" t="str">
        <f>이재희!S21</f>
        <v>미입력</v>
      </c>
      <c r="I99" s="36" t="str">
        <f>이재희!T21</f>
        <v/>
      </c>
      <c r="J99" s="37" t="str">
        <f>이재희!U21</f>
        <v/>
      </c>
      <c r="K99" s="38" t="str">
        <f t="shared" ref="K99:K122" si="7">IF(OR($J99="",$I99=""),"",$J99/$I99)</f>
        <v/>
      </c>
      <c r="L99" s="32" t="str">
        <f>이재희!W21</f>
        <v>미입력</v>
      </c>
      <c r="M99" s="40" t="str">
        <f>IF(이재희!X21="","",이재희!X21)</f>
        <v/>
      </c>
    </row>
    <row r="100" spans="1:13">
      <c r="A100" s="62"/>
      <c r="B100" s="62"/>
      <c r="C100" s="15" t="s">
        <v>102</v>
      </c>
      <c r="D100" s="35" t="str">
        <f>김가은!$B$2</f>
        <v>1년 이상</v>
      </c>
      <c r="E100" s="36" t="str">
        <f>김가은!P21</f>
        <v/>
      </c>
      <c r="F100" s="37" t="str">
        <f>김가은!Q21</f>
        <v/>
      </c>
      <c r="G100" s="38" t="str">
        <f t="shared" si="6"/>
        <v/>
      </c>
      <c r="H100" s="32" t="str">
        <f>김가은!S21</f>
        <v>미입력</v>
      </c>
      <c r="I100" s="36" t="str">
        <f>김가은!T21</f>
        <v/>
      </c>
      <c r="J100" s="37" t="str">
        <f>김가은!U21</f>
        <v/>
      </c>
      <c r="K100" s="38" t="str">
        <f t="shared" si="7"/>
        <v/>
      </c>
      <c r="L100" s="32" t="str">
        <f>김가은!W21</f>
        <v>미입력</v>
      </c>
      <c r="M100" s="40" t="str">
        <f>IF(김가은!X21="","",김가은!X21)</f>
        <v/>
      </c>
    </row>
    <row r="101" spans="1:13">
      <c r="A101" s="62"/>
      <c r="B101" s="62"/>
      <c r="C101" s="15" t="s">
        <v>103</v>
      </c>
      <c r="D101" s="35" t="str">
        <f>김보혜!$B$2</f>
        <v>1년 이상</v>
      </c>
      <c r="E101" s="36" t="str">
        <f>김보혜!P21</f>
        <v/>
      </c>
      <c r="F101" s="37" t="str">
        <f>김보혜!Q21</f>
        <v/>
      </c>
      <c r="G101" s="38" t="str">
        <f t="shared" si="6"/>
        <v/>
      </c>
      <c r="H101" s="32" t="str">
        <f>김보혜!S21</f>
        <v>미입력</v>
      </c>
      <c r="I101" s="36" t="str">
        <f>김보혜!T21</f>
        <v/>
      </c>
      <c r="J101" s="37" t="str">
        <f>김보혜!U21</f>
        <v/>
      </c>
      <c r="K101" s="38" t="str">
        <f t="shared" si="7"/>
        <v/>
      </c>
      <c r="L101" s="32" t="str">
        <f>김보혜!W21</f>
        <v>미입력</v>
      </c>
      <c r="M101" s="40" t="str">
        <f>IF(김보혜!X21="","",김보혜!X21)</f>
        <v/>
      </c>
    </row>
    <row r="102" spans="1:13">
      <c r="A102" s="62"/>
      <c r="B102" s="62"/>
      <c r="C102" s="15" t="s">
        <v>104</v>
      </c>
      <c r="D102" s="35" t="str">
        <f>박언정!$B$2</f>
        <v>1년 미만</v>
      </c>
      <c r="E102" s="36" t="str">
        <f>박언정!P21</f>
        <v/>
      </c>
      <c r="F102" s="37" t="str">
        <f>박언정!Q21</f>
        <v/>
      </c>
      <c r="G102" s="38" t="str">
        <f t="shared" si="6"/>
        <v/>
      </c>
      <c r="H102" s="32" t="str">
        <f>박언정!S21</f>
        <v>미입력</v>
      </c>
      <c r="I102" s="36" t="str">
        <f>박언정!T21</f>
        <v/>
      </c>
      <c r="J102" s="37" t="str">
        <f>박언정!U21</f>
        <v/>
      </c>
      <c r="K102" s="38" t="str">
        <f t="shared" si="7"/>
        <v/>
      </c>
      <c r="L102" s="32" t="str">
        <f>박언정!W21</f>
        <v>미입력</v>
      </c>
      <c r="M102" s="40" t="str">
        <f>IF(박언정!X21="","",박언정!X21)</f>
        <v/>
      </c>
    </row>
    <row r="103" spans="1:13">
      <c r="A103" s="62"/>
      <c r="B103" s="62"/>
      <c r="C103" s="15" t="s">
        <v>105</v>
      </c>
      <c r="D103" s="35" t="str">
        <f>강아름!$B$2</f>
        <v>1년 미만</v>
      </c>
      <c r="E103" s="36" t="str">
        <f>강아름!P21</f>
        <v/>
      </c>
      <c r="F103" s="37" t="str">
        <f>강아름!Q21</f>
        <v/>
      </c>
      <c r="G103" s="38" t="str">
        <f t="shared" si="6"/>
        <v/>
      </c>
      <c r="H103" s="32" t="str">
        <f>강아름!S21</f>
        <v>미입력</v>
      </c>
      <c r="I103" s="36" t="str">
        <f>강아름!T21</f>
        <v/>
      </c>
      <c r="J103" s="37" t="str">
        <f>강아름!U21</f>
        <v/>
      </c>
      <c r="K103" s="38" t="str">
        <f t="shared" si="7"/>
        <v/>
      </c>
      <c r="L103" s="32" t="str">
        <f>강아름!W21</f>
        <v>미입력</v>
      </c>
      <c r="M103" s="40" t="str">
        <f>IF(강아름!X21="","",강아름!X21)</f>
        <v/>
      </c>
    </row>
    <row r="104" spans="1:13">
      <c r="A104" s="62"/>
      <c r="B104" s="62"/>
      <c r="C104" s="15" t="s">
        <v>106</v>
      </c>
      <c r="D104" s="35" t="str">
        <f>정민지!$B$2</f>
        <v>1년 미만</v>
      </c>
      <c r="E104" s="36" t="str">
        <f>정민지!P21</f>
        <v/>
      </c>
      <c r="F104" s="37" t="str">
        <f>정민지!Q21</f>
        <v/>
      </c>
      <c r="G104" s="38" t="str">
        <f t="shared" si="6"/>
        <v/>
      </c>
      <c r="H104" s="32" t="str">
        <f>정민지!S21</f>
        <v>미입력</v>
      </c>
      <c r="I104" s="36" t="str">
        <f>정민지!T21</f>
        <v/>
      </c>
      <c r="J104" s="37" t="str">
        <f>정민지!U21</f>
        <v/>
      </c>
      <c r="K104" s="38" t="str">
        <f t="shared" si="7"/>
        <v/>
      </c>
      <c r="L104" s="32" t="str">
        <f>정민지!W21</f>
        <v>미입력</v>
      </c>
      <c r="M104" s="40" t="str">
        <f>IF(정민지!X21="","",정민지!X21)</f>
        <v/>
      </c>
    </row>
    <row r="105" spans="1:13">
      <c r="A105" s="62" t="s">
        <v>72</v>
      </c>
      <c r="B105" s="62" t="s">
        <v>121</v>
      </c>
      <c r="C105" s="15" t="s">
        <v>101</v>
      </c>
      <c r="D105" s="35" t="str">
        <f>이재희!$B$2</f>
        <v>1년 이상</v>
      </c>
      <c r="E105" s="36" t="str">
        <f>이재희!P22</f>
        <v/>
      </c>
      <c r="F105" s="37" t="str">
        <f>이재희!Q22</f>
        <v/>
      </c>
      <c r="G105" s="38" t="str">
        <f t="shared" si="6"/>
        <v/>
      </c>
      <c r="H105" s="32" t="str">
        <f>이재희!S22</f>
        <v>미입력</v>
      </c>
      <c r="I105" s="36" t="str">
        <f>이재희!T22</f>
        <v/>
      </c>
      <c r="J105" s="37" t="str">
        <f>이재희!U22</f>
        <v/>
      </c>
      <c r="K105" s="38" t="str">
        <f t="shared" si="7"/>
        <v/>
      </c>
      <c r="L105" s="32" t="str">
        <f>이재희!W22</f>
        <v>미입력</v>
      </c>
      <c r="M105" s="40" t="str">
        <f>IF(이재희!X22="","",이재희!X22)</f>
        <v/>
      </c>
    </row>
    <row r="106" spans="1:13">
      <c r="A106" s="62"/>
      <c r="B106" s="62"/>
      <c r="C106" s="15" t="s">
        <v>102</v>
      </c>
      <c r="D106" s="35" t="str">
        <f>김가은!$B$2</f>
        <v>1년 이상</v>
      </c>
      <c r="E106" s="36" t="str">
        <f>김가은!P22</f>
        <v/>
      </c>
      <c r="F106" s="37" t="str">
        <f>김가은!Q22</f>
        <v/>
      </c>
      <c r="G106" s="38" t="str">
        <f t="shared" si="6"/>
        <v/>
      </c>
      <c r="H106" s="32" t="str">
        <f>김가은!S22</f>
        <v>미입력</v>
      </c>
      <c r="I106" s="36" t="str">
        <f>김가은!T22</f>
        <v/>
      </c>
      <c r="J106" s="37" t="str">
        <f>김가은!U22</f>
        <v/>
      </c>
      <c r="K106" s="38" t="str">
        <f t="shared" si="7"/>
        <v/>
      </c>
      <c r="L106" s="32" t="str">
        <f>김가은!W22</f>
        <v>미입력</v>
      </c>
      <c r="M106" s="40" t="str">
        <f>IF(김가은!X22="","",김가은!X22)</f>
        <v/>
      </c>
    </row>
    <row r="107" spans="1:13">
      <c r="A107" s="62"/>
      <c r="B107" s="62"/>
      <c r="C107" s="15" t="s">
        <v>103</v>
      </c>
      <c r="D107" s="35" t="str">
        <f>김보혜!$B$2</f>
        <v>1년 이상</v>
      </c>
      <c r="E107" s="36" t="str">
        <f>김보혜!P22</f>
        <v/>
      </c>
      <c r="F107" s="37" t="str">
        <f>김보혜!Q22</f>
        <v/>
      </c>
      <c r="G107" s="38" t="str">
        <f t="shared" si="6"/>
        <v/>
      </c>
      <c r="H107" s="32" t="str">
        <f>김보혜!S22</f>
        <v>미입력</v>
      </c>
      <c r="I107" s="36" t="str">
        <f>김보혜!T22</f>
        <v/>
      </c>
      <c r="J107" s="37" t="str">
        <f>김보혜!U22</f>
        <v/>
      </c>
      <c r="K107" s="38" t="str">
        <f t="shared" si="7"/>
        <v/>
      </c>
      <c r="L107" s="32" t="str">
        <f>김보혜!W22</f>
        <v>미입력</v>
      </c>
      <c r="M107" s="40" t="str">
        <f>IF(김보혜!X22="","",김보혜!X22)</f>
        <v/>
      </c>
    </row>
    <row r="108" spans="1:13">
      <c r="A108" s="62"/>
      <c r="B108" s="62"/>
      <c r="C108" s="15" t="s">
        <v>104</v>
      </c>
      <c r="D108" s="35" t="str">
        <f>박언정!$B$2</f>
        <v>1년 미만</v>
      </c>
      <c r="E108" s="36" t="str">
        <f>박언정!P22</f>
        <v/>
      </c>
      <c r="F108" s="37" t="str">
        <f>박언정!Q22</f>
        <v/>
      </c>
      <c r="G108" s="38" t="str">
        <f t="shared" si="6"/>
        <v/>
      </c>
      <c r="H108" s="32" t="str">
        <f>박언정!S22</f>
        <v>미입력</v>
      </c>
      <c r="I108" s="36" t="str">
        <f>박언정!T22</f>
        <v/>
      </c>
      <c r="J108" s="37" t="str">
        <f>박언정!U22</f>
        <v/>
      </c>
      <c r="K108" s="38" t="str">
        <f t="shared" si="7"/>
        <v/>
      </c>
      <c r="L108" s="32" t="str">
        <f>박언정!W22</f>
        <v>미입력</v>
      </c>
      <c r="M108" s="40" t="str">
        <f>IF(박언정!X22="","",박언정!X22)</f>
        <v/>
      </c>
    </row>
    <row r="109" spans="1:13">
      <c r="A109" s="62"/>
      <c r="B109" s="62"/>
      <c r="C109" s="15" t="s">
        <v>105</v>
      </c>
      <c r="D109" s="35" t="str">
        <f>강아름!$B$2</f>
        <v>1년 미만</v>
      </c>
      <c r="E109" s="36" t="str">
        <f>강아름!P22</f>
        <v/>
      </c>
      <c r="F109" s="37" t="str">
        <f>강아름!Q22</f>
        <v/>
      </c>
      <c r="G109" s="38" t="str">
        <f t="shared" si="6"/>
        <v/>
      </c>
      <c r="H109" s="32" t="str">
        <f>강아름!S22</f>
        <v>미입력</v>
      </c>
      <c r="I109" s="36" t="str">
        <f>강아름!T22</f>
        <v/>
      </c>
      <c r="J109" s="37" t="str">
        <f>강아름!U22</f>
        <v/>
      </c>
      <c r="K109" s="38" t="str">
        <f t="shared" si="7"/>
        <v/>
      </c>
      <c r="L109" s="32" t="str">
        <f>강아름!W22</f>
        <v>미입력</v>
      </c>
      <c r="M109" s="40" t="str">
        <f>IF(강아름!X22="","",강아름!X22)</f>
        <v/>
      </c>
    </row>
    <row r="110" spans="1:13">
      <c r="A110" s="62"/>
      <c r="B110" s="62"/>
      <c r="C110" s="15" t="s">
        <v>106</v>
      </c>
      <c r="D110" s="35" t="str">
        <f>정민지!$B$2</f>
        <v>1년 미만</v>
      </c>
      <c r="E110" s="36" t="str">
        <f>정민지!P22</f>
        <v/>
      </c>
      <c r="F110" s="37" t="str">
        <f>정민지!Q22</f>
        <v/>
      </c>
      <c r="G110" s="38" t="str">
        <f t="shared" si="6"/>
        <v/>
      </c>
      <c r="H110" s="32" t="str">
        <f>정민지!S22</f>
        <v>미입력</v>
      </c>
      <c r="I110" s="36" t="str">
        <f>정민지!T22</f>
        <v/>
      </c>
      <c r="J110" s="37" t="str">
        <f>정민지!U22</f>
        <v/>
      </c>
      <c r="K110" s="38" t="str">
        <f t="shared" si="7"/>
        <v/>
      </c>
      <c r="L110" s="32" t="str">
        <f>정민지!W22</f>
        <v>미입력</v>
      </c>
      <c r="M110" s="40" t="str">
        <f>IF(정민지!X22="","",정민지!X22)</f>
        <v/>
      </c>
    </row>
    <row r="111" spans="1:13">
      <c r="A111" s="62" t="s">
        <v>73</v>
      </c>
      <c r="B111" s="62" t="s">
        <v>122</v>
      </c>
      <c r="C111" s="15" t="s">
        <v>101</v>
      </c>
      <c r="D111" s="35" t="str">
        <f>이재희!$B$2</f>
        <v>1년 이상</v>
      </c>
      <c r="E111" s="36" t="str">
        <f>이재희!P23</f>
        <v/>
      </c>
      <c r="F111" s="37" t="str">
        <f>이재희!Q23</f>
        <v/>
      </c>
      <c r="G111" s="38" t="str">
        <f t="shared" si="6"/>
        <v/>
      </c>
      <c r="H111" s="32" t="str">
        <f>이재희!S23</f>
        <v>미입력</v>
      </c>
      <c r="I111" s="36" t="str">
        <f>이재희!T23</f>
        <v/>
      </c>
      <c r="J111" s="37" t="str">
        <f>이재희!U23</f>
        <v/>
      </c>
      <c r="K111" s="38" t="str">
        <f t="shared" si="7"/>
        <v/>
      </c>
      <c r="L111" s="32" t="str">
        <f>이재희!W23</f>
        <v>미입력</v>
      </c>
      <c r="M111" s="40" t="str">
        <f>IF(이재희!X23="","",이재희!X23)</f>
        <v/>
      </c>
    </row>
    <row r="112" spans="1:13">
      <c r="A112" s="62"/>
      <c r="B112" s="62"/>
      <c r="C112" s="15" t="s">
        <v>102</v>
      </c>
      <c r="D112" s="35" t="str">
        <f>김가은!$B$2</f>
        <v>1년 이상</v>
      </c>
      <c r="E112" s="36" t="str">
        <f>김가은!P23</f>
        <v/>
      </c>
      <c r="F112" s="37" t="str">
        <f>김가은!Q23</f>
        <v/>
      </c>
      <c r="G112" s="38" t="str">
        <f t="shared" si="6"/>
        <v/>
      </c>
      <c r="H112" s="32" t="str">
        <f>김가은!S23</f>
        <v>미입력</v>
      </c>
      <c r="I112" s="36" t="str">
        <f>김가은!T23</f>
        <v/>
      </c>
      <c r="J112" s="37" t="str">
        <f>김가은!U23</f>
        <v/>
      </c>
      <c r="K112" s="38" t="str">
        <f t="shared" si="7"/>
        <v/>
      </c>
      <c r="L112" s="32" t="str">
        <f>김가은!W23</f>
        <v>미입력</v>
      </c>
      <c r="M112" s="40" t="str">
        <f>IF(김가은!X23="","",김가은!X23)</f>
        <v/>
      </c>
    </row>
    <row r="113" spans="1:13">
      <c r="A113" s="62"/>
      <c r="B113" s="62"/>
      <c r="C113" s="15" t="s">
        <v>103</v>
      </c>
      <c r="D113" s="35" t="str">
        <f>김보혜!$B$2</f>
        <v>1년 이상</v>
      </c>
      <c r="E113" s="36" t="str">
        <f>김보혜!P23</f>
        <v/>
      </c>
      <c r="F113" s="37" t="str">
        <f>김보혜!Q23</f>
        <v/>
      </c>
      <c r="G113" s="38" t="str">
        <f t="shared" si="6"/>
        <v/>
      </c>
      <c r="H113" s="32" t="str">
        <f>김보혜!S23</f>
        <v>미입력</v>
      </c>
      <c r="I113" s="36" t="str">
        <f>김보혜!T23</f>
        <v/>
      </c>
      <c r="J113" s="37" t="str">
        <f>김보혜!U23</f>
        <v/>
      </c>
      <c r="K113" s="38" t="str">
        <f t="shared" si="7"/>
        <v/>
      </c>
      <c r="L113" s="32" t="str">
        <f>김보혜!W23</f>
        <v>미입력</v>
      </c>
      <c r="M113" s="40" t="str">
        <f>IF(김보혜!X23="","",김보혜!X23)</f>
        <v/>
      </c>
    </row>
    <row r="114" spans="1:13">
      <c r="A114" s="62"/>
      <c r="B114" s="62"/>
      <c r="C114" s="15" t="s">
        <v>104</v>
      </c>
      <c r="D114" s="35" t="str">
        <f>박언정!$B$2</f>
        <v>1년 미만</v>
      </c>
      <c r="E114" s="36" t="str">
        <f>박언정!P23</f>
        <v/>
      </c>
      <c r="F114" s="37" t="str">
        <f>박언정!Q23</f>
        <v/>
      </c>
      <c r="G114" s="38" t="str">
        <f t="shared" si="6"/>
        <v/>
      </c>
      <c r="H114" s="32" t="str">
        <f>박언정!S23</f>
        <v>미입력</v>
      </c>
      <c r="I114" s="36" t="str">
        <f>박언정!T23</f>
        <v/>
      </c>
      <c r="J114" s="37" t="str">
        <f>박언정!U23</f>
        <v/>
      </c>
      <c r="K114" s="38" t="str">
        <f t="shared" si="7"/>
        <v/>
      </c>
      <c r="L114" s="32" t="str">
        <f>박언정!W23</f>
        <v>미입력</v>
      </c>
      <c r="M114" s="40" t="str">
        <f>IF(박언정!X23="","",박언정!X23)</f>
        <v/>
      </c>
    </row>
    <row r="115" spans="1:13">
      <c r="A115" s="62"/>
      <c r="B115" s="62"/>
      <c r="C115" s="15" t="s">
        <v>105</v>
      </c>
      <c r="D115" s="35" t="str">
        <f>강아름!$B$2</f>
        <v>1년 미만</v>
      </c>
      <c r="E115" s="36" t="str">
        <f>강아름!P23</f>
        <v/>
      </c>
      <c r="F115" s="37" t="str">
        <f>강아름!Q23</f>
        <v/>
      </c>
      <c r="G115" s="38" t="str">
        <f t="shared" si="6"/>
        <v/>
      </c>
      <c r="H115" s="32" t="str">
        <f>강아름!S23</f>
        <v>미입력</v>
      </c>
      <c r="I115" s="36" t="str">
        <f>강아름!T23</f>
        <v/>
      </c>
      <c r="J115" s="37" t="str">
        <f>강아름!U23</f>
        <v/>
      </c>
      <c r="K115" s="38" t="str">
        <f t="shared" si="7"/>
        <v/>
      </c>
      <c r="L115" s="32" t="str">
        <f>강아름!W23</f>
        <v>미입력</v>
      </c>
      <c r="M115" s="40" t="str">
        <f>IF(강아름!X23="","",강아름!X23)</f>
        <v/>
      </c>
    </row>
    <row r="116" spans="1:13">
      <c r="A116" s="62"/>
      <c r="B116" s="62"/>
      <c r="C116" s="15" t="s">
        <v>106</v>
      </c>
      <c r="D116" s="35" t="str">
        <f>정민지!$B$2</f>
        <v>1년 미만</v>
      </c>
      <c r="E116" s="36" t="str">
        <f>정민지!P23</f>
        <v/>
      </c>
      <c r="F116" s="37" t="str">
        <f>정민지!Q23</f>
        <v/>
      </c>
      <c r="G116" s="38" t="str">
        <f t="shared" si="6"/>
        <v/>
      </c>
      <c r="H116" s="32" t="str">
        <f>정민지!S23</f>
        <v>미입력</v>
      </c>
      <c r="I116" s="36" t="str">
        <f>정민지!T23</f>
        <v/>
      </c>
      <c r="J116" s="37" t="str">
        <f>정민지!U23</f>
        <v/>
      </c>
      <c r="K116" s="38" t="str">
        <f t="shared" si="7"/>
        <v/>
      </c>
      <c r="L116" s="32" t="str">
        <f>정민지!W23</f>
        <v>미입력</v>
      </c>
      <c r="M116" s="40" t="str">
        <f>IF(정민지!X23="","",정민지!X23)</f>
        <v/>
      </c>
    </row>
    <row r="117" spans="1:13">
      <c r="A117" s="62" t="s">
        <v>74</v>
      </c>
      <c r="B117" s="62" t="s">
        <v>123</v>
      </c>
      <c r="C117" s="15" t="s">
        <v>101</v>
      </c>
      <c r="D117" s="35" t="str">
        <f>이재희!$B$2</f>
        <v>1년 이상</v>
      </c>
      <c r="E117" s="36" t="str">
        <f>이재희!P24</f>
        <v/>
      </c>
      <c r="F117" s="37" t="str">
        <f>이재희!Q24</f>
        <v/>
      </c>
      <c r="G117" s="38" t="str">
        <f t="shared" si="6"/>
        <v/>
      </c>
      <c r="H117" s="32" t="str">
        <f>이재희!S24</f>
        <v>미입력</v>
      </c>
      <c r="I117" s="36" t="str">
        <f>이재희!T24</f>
        <v/>
      </c>
      <c r="J117" s="37" t="str">
        <f>이재희!U24</f>
        <v/>
      </c>
      <c r="K117" s="38" t="str">
        <f t="shared" si="7"/>
        <v/>
      </c>
      <c r="L117" s="32" t="str">
        <f>이재희!W24</f>
        <v>미입력</v>
      </c>
      <c r="M117" s="40" t="str">
        <f>IF(이재희!X24="","",이재희!X24)</f>
        <v/>
      </c>
    </row>
    <row r="118" spans="1:13">
      <c r="A118" s="62"/>
      <c r="B118" s="62"/>
      <c r="C118" s="15" t="s">
        <v>102</v>
      </c>
      <c r="D118" s="35" t="str">
        <f>김가은!$B$2</f>
        <v>1년 이상</v>
      </c>
      <c r="E118" s="36" t="str">
        <f>김가은!P24</f>
        <v/>
      </c>
      <c r="F118" s="37" t="str">
        <f>김가은!Q24</f>
        <v/>
      </c>
      <c r="G118" s="38" t="str">
        <f t="shared" si="6"/>
        <v/>
      </c>
      <c r="H118" s="32" t="str">
        <f>김가은!S24</f>
        <v>미입력</v>
      </c>
      <c r="I118" s="36" t="str">
        <f>김가은!T24</f>
        <v/>
      </c>
      <c r="J118" s="37" t="str">
        <f>김가은!U24</f>
        <v/>
      </c>
      <c r="K118" s="38" t="str">
        <f t="shared" si="7"/>
        <v/>
      </c>
      <c r="L118" s="32" t="str">
        <f>김가은!W24</f>
        <v>미입력</v>
      </c>
      <c r="M118" s="40" t="str">
        <f>IF(김가은!X24="","",김가은!X24)</f>
        <v/>
      </c>
    </row>
    <row r="119" spans="1:13">
      <c r="A119" s="62"/>
      <c r="B119" s="62"/>
      <c r="C119" s="15" t="s">
        <v>103</v>
      </c>
      <c r="D119" s="35" t="str">
        <f>김보혜!$B$2</f>
        <v>1년 이상</v>
      </c>
      <c r="E119" s="36" t="str">
        <f>김보혜!P24</f>
        <v/>
      </c>
      <c r="F119" s="37" t="str">
        <f>김보혜!Q24</f>
        <v/>
      </c>
      <c r="G119" s="38" t="str">
        <f t="shared" si="6"/>
        <v/>
      </c>
      <c r="H119" s="32" t="str">
        <f>김보혜!S24</f>
        <v>미입력</v>
      </c>
      <c r="I119" s="36" t="str">
        <f>김보혜!T24</f>
        <v/>
      </c>
      <c r="J119" s="37" t="str">
        <f>김보혜!U24</f>
        <v/>
      </c>
      <c r="K119" s="38" t="str">
        <f t="shared" si="7"/>
        <v/>
      </c>
      <c r="L119" s="32" t="str">
        <f>김보혜!W24</f>
        <v>미입력</v>
      </c>
      <c r="M119" s="40" t="str">
        <f>IF(김보혜!X24="","",김보혜!X24)</f>
        <v/>
      </c>
    </row>
    <row r="120" spans="1:13">
      <c r="A120" s="62"/>
      <c r="B120" s="62"/>
      <c r="C120" s="15" t="s">
        <v>104</v>
      </c>
      <c r="D120" s="35" t="str">
        <f>박언정!$B$2</f>
        <v>1년 미만</v>
      </c>
      <c r="E120" s="36" t="str">
        <f>박언정!P24</f>
        <v/>
      </c>
      <c r="F120" s="37" t="str">
        <f>박언정!Q24</f>
        <v/>
      </c>
      <c r="G120" s="38" t="str">
        <f t="shared" si="6"/>
        <v/>
      </c>
      <c r="H120" s="32" t="str">
        <f>박언정!S24</f>
        <v>미입력</v>
      </c>
      <c r="I120" s="36" t="str">
        <f>박언정!T24</f>
        <v/>
      </c>
      <c r="J120" s="37" t="str">
        <f>박언정!U24</f>
        <v/>
      </c>
      <c r="K120" s="38" t="str">
        <f t="shared" si="7"/>
        <v/>
      </c>
      <c r="L120" s="32" t="str">
        <f>박언정!W24</f>
        <v>미입력</v>
      </c>
      <c r="M120" s="40" t="str">
        <f>IF(박언정!X24="","",박언정!X24)</f>
        <v/>
      </c>
    </row>
    <row r="121" spans="1:13">
      <c r="A121" s="62"/>
      <c r="B121" s="62"/>
      <c r="C121" s="15" t="s">
        <v>105</v>
      </c>
      <c r="D121" s="35" t="str">
        <f>강아름!$B$2</f>
        <v>1년 미만</v>
      </c>
      <c r="E121" s="36" t="str">
        <f>강아름!P24</f>
        <v/>
      </c>
      <c r="F121" s="37" t="str">
        <f>강아름!Q24</f>
        <v/>
      </c>
      <c r="G121" s="38" t="str">
        <f t="shared" si="6"/>
        <v/>
      </c>
      <c r="H121" s="32" t="str">
        <f>강아름!S24</f>
        <v>미입력</v>
      </c>
      <c r="I121" s="36" t="str">
        <f>강아름!T24</f>
        <v/>
      </c>
      <c r="J121" s="37" t="str">
        <f>강아름!U24</f>
        <v/>
      </c>
      <c r="K121" s="38" t="str">
        <f t="shared" si="7"/>
        <v/>
      </c>
      <c r="L121" s="32" t="str">
        <f>강아름!W24</f>
        <v>미입력</v>
      </c>
      <c r="M121" s="40" t="str">
        <f>IF(강아름!X24="","",강아름!X24)</f>
        <v/>
      </c>
    </row>
    <row r="122" spans="1:13">
      <c r="A122" s="62"/>
      <c r="B122" s="62"/>
      <c r="C122" s="15" t="s">
        <v>106</v>
      </c>
      <c r="D122" s="35" t="str">
        <f>정민지!$B$2</f>
        <v>1년 미만</v>
      </c>
      <c r="E122" s="36" t="str">
        <f>정민지!P24</f>
        <v/>
      </c>
      <c r="F122" s="37" t="str">
        <f>정민지!Q24</f>
        <v/>
      </c>
      <c r="G122" s="38" t="str">
        <f t="shared" si="6"/>
        <v/>
      </c>
      <c r="H122" s="32" t="str">
        <f>정민지!S24</f>
        <v>미입력</v>
      </c>
      <c r="I122" s="36" t="str">
        <f>정민지!T24</f>
        <v/>
      </c>
      <c r="J122" s="37" t="str">
        <f>정민지!U24</f>
        <v/>
      </c>
      <c r="K122" s="38" t="str">
        <f t="shared" si="7"/>
        <v/>
      </c>
      <c r="L122" s="32" t="str">
        <f>정민지!W24</f>
        <v>미입력</v>
      </c>
      <c r="M122" s="40" t="str">
        <f>IF(정민지!X24="","",정민지!X24)</f>
        <v/>
      </c>
    </row>
  </sheetData>
  <mergeCells count="42">
    <mergeCell ref="A105:A110"/>
    <mergeCell ref="B105:B110"/>
    <mergeCell ref="A111:A116"/>
    <mergeCell ref="B111:B116"/>
    <mergeCell ref="A117:A122"/>
    <mergeCell ref="B117:B122"/>
    <mergeCell ref="A87:A92"/>
    <mergeCell ref="B87:B92"/>
    <mergeCell ref="A93:A98"/>
    <mergeCell ref="B93:B98"/>
    <mergeCell ref="A99:A104"/>
    <mergeCell ref="B99:B104"/>
    <mergeCell ref="A69:A74"/>
    <mergeCell ref="B69:B74"/>
    <mergeCell ref="A75:A80"/>
    <mergeCell ref="B75:B80"/>
    <mergeCell ref="A81:A86"/>
    <mergeCell ref="B81:B86"/>
    <mergeCell ref="A51:A56"/>
    <mergeCell ref="B51:B56"/>
    <mergeCell ref="A57:A62"/>
    <mergeCell ref="B57:B62"/>
    <mergeCell ref="A63:A68"/>
    <mergeCell ref="B63:B68"/>
    <mergeCell ref="A33:A38"/>
    <mergeCell ref="B33:B38"/>
    <mergeCell ref="A39:A44"/>
    <mergeCell ref="B39:B44"/>
    <mergeCell ref="A45:A50"/>
    <mergeCell ref="B45:B50"/>
    <mergeCell ref="A16:A21"/>
    <mergeCell ref="B16:B21"/>
    <mergeCell ref="A22:A27"/>
    <mergeCell ref="B22:B27"/>
    <mergeCell ref="A28:A32"/>
    <mergeCell ref="B28:B32"/>
    <mergeCell ref="A1:M1"/>
    <mergeCell ref="A2:M2"/>
    <mergeCell ref="A4:A9"/>
    <mergeCell ref="B4:B9"/>
    <mergeCell ref="A10:A15"/>
    <mergeCell ref="B10:B15"/>
  </mergeCells>
  <phoneticPr fontId="19" type="noConversion"/>
  <conditionalFormatting sqref="H4:H122 L4:L122">
    <cfRule type="expression" dxfId="2" priority="2">
      <formula>H4="달성"</formula>
    </cfRule>
    <cfRule type="expression" dxfId="1" priority="3">
      <formula>H4="미달"</formula>
    </cfRule>
    <cfRule type="expression" dxfId="0" priority="4">
      <formula>H4="미입력"</formula>
    </cfRule>
  </conditionalFormatting>
  <pageMargins left="0.70866141732283461" right="0.70866141732283461" top="0.74803149606299213" bottom="0.74803149606299213" header="0.31496062992125984" footer="0.31496062992125984"/>
  <pageSetup paperSize="9" scale="23" orientation="landscape" verticalDpi="300" r:id="rId1"/>
  <rowBreaks count="1" manualBreakCount="1">
    <brk id="2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F22A-281C-4946-8401-4DC1F8E8D357}">
  <dimension ref="A1:I45"/>
  <sheetViews>
    <sheetView workbookViewId="0">
      <selection activeCell="H7" sqref="H7"/>
    </sheetView>
  </sheetViews>
  <sheetFormatPr defaultRowHeight="15"/>
  <cols>
    <col min="1" max="1" width="10.85546875" bestFit="1" customWidth="1"/>
    <col min="2" max="2" width="10.85546875" customWidth="1"/>
    <col min="3" max="3" width="11.140625" customWidth="1"/>
    <col min="4" max="4" width="11.5703125" customWidth="1"/>
    <col min="5" max="5" width="10" customWidth="1"/>
    <col min="6" max="6" width="13.7109375" customWidth="1"/>
    <col min="7" max="7" width="14.85546875" customWidth="1"/>
    <col min="8" max="8" width="58.140625" customWidth="1"/>
    <col min="9" max="9" width="83" customWidth="1"/>
  </cols>
  <sheetData>
    <row r="1" spans="1:9" ht="26.25">
      <c r="A1" s="52" t="s">
        <v>146</v>
      </c>
      <c r="B1" s="52"/>
      <c r="C1" s="53"/>
      <c r="D1" s="53"/>
      <c r="E1" s="53"/>
      <c r="F1" s="53"/>
      <c r="G1" s="53"/>
      <c r="H1" s="53"/>
      <c r="I1" s="53"/>
    </row>
    <row r="3" spans="1:9" ht="24" customHeight="1">
      <c r="A3" s="48" t="s">
        <v>147</v>
      </c>
      <c r="B3" s="48" t="s">
        <v>148</v>
      </c>
      <c r="C3" s="48" t="s">
        <v>149</v>
      </c>
      <c r="D3" s="48" t="s">
        <v>150</v>
      </c>
      <c r="E3" s="48" t="s">
        <v>151</v>
      </c>
      <c r="F3" s="48" t="s">
        <v>152</v>
      </c>
      <c r="G3" s="48" t="s">
        <v>153</v>
      </c>
      <c r="H3" s="48" t="s">
        <v>154</v>
      </c>
      <c r="I3" s="48" t="s">
        <v>155</v>
      </c>
    </row>
    <row r="4" spans="1:9" ht="103.5" customHeight="1">
      <c r="A4" s="54" t="s">
        <v>156</v>
      </c>
      <c r="B4" s="49" t="s">
        <v>157</v>
      </c>
      <c r="C4" s="49">
        <v>3</v>
      </c>
      <c r="D4" s="49">
        <v>3</v>
      </c>
      <c r="E4" s="49">
        <f t="shared" ref="E4:E21" si="0">C4-D4</f>
        <v>0</v>
      </c>
      <c r="F4" s="49">
        <v>1</v>
      </c>
      <c r="G4" s="49">
        <v>1</v>
      </c>
      <c r="H4" s="50" t="s">
        <v>158</v>
      </c>
      <c r="I4" s="50" t="s">
        <v>159</v>
      </c>
    </row>
    <row r="5" spans="1:9" ht="103.5" customHeight="1">
      <c r="A5" s="55"/>
      <c r="B5" s="49" t="s">
        <v>160</v>
      </c>
      <c r="C5" s="49">
        <v>3</v>
      </c>
      <c r="D5" s="49">
        <v>3</v>
      </c>
      <c r="E5" s="49">
        <f t="shared" si="0"/>
        <v>0</v>
      </c>
      <c r="F5" s="49">
        <v>2</v>
      </c>
      <c r="G5" s="49">
        <v>2</v>
      </c>
      <c r="H5" s="50" t="s">
        <v>161</v>
      </c>
      <c r="I5" s="50" t="s">
        <v>162</v>
      </c>
    </row>
    <row r="6" spans="1:9" ht="103.5" customHeight="1">
      <c r="A6" s="55"/>
      <c r="B6" s="49" t="s">
        <v>163</v>
      </c>
      <c r="C6" s="49">
        <v>4</v>
      </c>
      <c r="D6" s="49">
        <v>4</v>
      </c>
      <c r="E6" s="49">
        <f t="shared" si="0"/>
        <v>0</v>
      </c>
      <c r="F6" s="49">
        <v>0</v>
      </c>
      <c r="G6" s="49">
        <v>0</v>
      </c>
      <c r="H6" s="49" t="s">
        <v>164</v>
      </c>
      <c r="I6" s="50" t="s">
        <v>165</v>
      </c>
    </row>
    <row r="7" spans="1:9" ht="103.5" customHeight="1">
      <c r="A7" s="55"/>
      <c r="B7" s="49" t="s">
        <v>166</v>
      </c>
      <c r="C7" s="49">
        <v>4</v>
      </c>
      <c r="D7" s="49">
        <v>4</v>
      </c>
      <c r="E7" s="49">
        <f t="shared" si="0"/>
        <v>0</v>
      </c>
      <c r="F7" s="49">
        <v>0</v>
      </c>
      <c r="G7" s="49">
        <v>0</v>
      </c>
      <c r="H7" s="49" t="s">
        <v>164</v>
      </c>
      <c r="I7" s="50" t="s">
        <v>167</v>
      </c>
    </row>
    <row r="8" spans="1:9" ht="103.5" customHeight="1">
      <c r="A8" s="56"/>
      <c r="B8" s="49" t="s">
        <v>168</v>
      </c>
      <c r="C8" s="49">
        <v>4</v>
      </c>
      <c r="D8" s="49">
        <v>4</v>
      </c>
      <c r="E8" s="49">
        <f t="shared" si="0"/>
        <v>0</v>
      </c>
      <c r="F8" s="49">
        <v>0</v>
      </c>
      <c r="G8" s="49">
        <v>0</v>
      </c>
      <c r="H8" s="49" t="s">
        <v>164</v>
      </c>
      <c r="I8" s="50" t="s">
        <v>169</v>
      </c>
    </row>
    <row r="9" spans="1:9" ht="103.5" customHeight="1">
      <c r="A9" s="49" t="s">
        <v>160</v>
      </c>
      <c r="B9" s="49" t="s">
        <v>160</v>
      </c>
      <c r="C9" s="49"/>
      <c r="D9" s="49"/>
      <c r="E9" s="49">
        <f t="shared" si="0"/>
        <v>0</v>
      </c>
      <c r="F9" s="49"/>
      <c r="G9" s="49"/>
      <c r="H9" s="50"/>
      <c r="I9" s="50"/>
    </row>
    <row r="10" spans="1:9" ht="103.5" customHeight="1">
      <c r="A10" s="49" t="s">
        <v>163</v>
      </c>
      <c r="B10" s="49" t="s">
        <v>163</v>
      </c>
      <c r="C10" s="49"/>
      <c r="D10" s="49"/>
      <c r="E10" s="49">
        <f t="shared" si="0"/>
        <v>0</v>
      </c>
      <c r="F10" s="49"/>
      <c r="G10" s="49"/>
      <c r="H10" s="50"/>
      <c r="I10" s="50"/>
    </row>
    <row r="11" spans="1:9" ht="103.5" customHeight="1">
      <c r="A11" s="49" t="s">
        <v>166</v>
      </c>
      <c r="B11" s="49" t="s">
        <v>166</v>
      </c>
      <c r="C11" s="49"/>
      <c r="D11" s="49"/>
      <c r="E11" s="49">
        <f t="shared" si="0"/>
        <v>0</v>
      </c>
      <c r="F11" s="49"/>
      <c r="G11" s="49"/>
      <c r="H11" s="50"/>
      <c r="I11" s="50"/>
    </row>
    <row r="12" spans="1:9" ht="103.5" customHeight="1">
      <c r="A12" s="49" t="s">
        <v>157</v>
      </c>
      <c r="B12" s="49" t="s">
        <v>157</v>
      </c>
      <c r="C12" s="49"/>
      <c r="D12" s="49"/>
      <c r="E12" s="49">
        <f t="shared" si="0"/>
        <v>0</v>
      </c>
      <c r="F12" s="49"/>
      <c r="G12" s="49"/>
      <c r="H12" s="50"/>
      <c r="I12" s="50"/>
    </row>
    <row r="13" spans="1:9" ht="103.5" customHeight="1">
      <c r="A13" s="49" t="s">
        <v>160</v>
      </c>
      <c r="B13" s="49" t="s">
        <v>160</v>
      </c>
      <c r="C13" s="49"/>
      <c r="D13" s="49"/>
      <c r="E13" s="49">
        <f t="shared" si="0"/>
        <v>0</v>
      </c>
      <c r="F13" s="49"/>
      <c r="G13" s="49"/>
      <c r="H13" s="50"/>
      <c r="I13" s="50"/>
    </row>
    <row r="14" spans="1:9" ht="103.5" customHeight="1">
      <c r="A14" s="49" t="s">
        <v>163</v>
      </c>
      <c r="B14" s="49" t="s">
        <v>163</v>
      </c>
      <c r="C14" s="49"/>
      <c r="D14" s="49"/>
      <c r="E14" s="49">
        <f t="shared" si="0"/>
        <v>0</v>
      </c>
      <c r="F14" s="49"/>
      <c r="G14" s="49"/>
      <c r="H14" s="50"/>
      <c r="I14" s="50"/>
    </row>
    <row r="15" spans="1:9" ht="103.5" customHeight="1">
      <c r="A15" s="49" t="s">
        <v>166</v>
      </c>
      <c r="B15" s="49" t="s">
        <v>166</v>
      </c>
      <c r="C15" s="49"/>
      <c r="D15" s="49"/>
      <c r="E15" s="49">
        <f t="shared" si="0"/>
        <v>0</v>
      </c>
      <c r="F15" s="49"/>
      <c r="G15" s="49"/>
      <c r="H15" s="50"/>
      <c r="I15" s="50"/>
    </row>
    <row r="16" spans="1:9" ht="103.5" customHeight="1">
      <c r="A16" s="49" t="s">
        <v>170</v>
      </c>
      <c r="B16" s="49" t="s">
        <v>170</v>
      </c>
      <c r="C16" s="49"/>
      <c r="D16" s="49"/>
      <c r="E16" s="49">
        <f t="shared" si="0"/>
        <v>0</v>
      </c>
      <c r="F16" s="49"/>
      <c r="G16" s="49"/>
      <c r="H16" s="50"/>
      <c r="I16" s="50"/>
    </row>
    <row r="17" spans="1:9" ht="103.5" customHeight="1">
      <c r="A17" s="49" t="s">
        <v>157</v>
      </c>
      <c r="B17" s="49" t="s">
        <v>157</v>
      </c>
      <c r="C17" s="49"/>
      <c r="D17" s="49"/>
      <c r="E17" s="49">
        <f t="shared" si="0"/>
        <v>0</v>
      </c>
      <c r="F17" s="49"/>
      <c r="G17" s="49"/>
      <c r="H17" s="50"/>
      <c r="I17" s="50"/>
    </row>
    <row r="18" spans="1:9" ht="103.5" customHeight="1">
      <c r="A18" s="49" t="s">
        <v>160</v>
      </c>
      <c r="B18" s="49" t="s">
        <v>160</v>
      </c>
      <c r="C18" s="49"/>
      <c r="D18" s="49"/>
      <c r="E18" s="49">
        <f t="shared" si="0"/>
        <v>0</v>
      </c>
      <c r="F18" s="49"/>
      <c r="G18" s="49"/>
      <c r="H18" s="50"/>
      <c r="I18" s="50"/>
    </row>
    <row r="19" spans="1:9" ht="103.5" customHeight="1">
      <c r="A19" s="49" t="s">
        <v>163</v>
      </c>
      <c r="B19" s="49" t="s">
        <v>163</v>
      </c>
      <c r="C19" s="49"/>
      <c r="D19" s="49"/>
      <c r="E19" s="49">
        <f t="shared" si="0"/>
        <v>0</v>
      </c>
      <c r="F19" s="49"/>
      <c r="G19" s="49"/>
      <c r="H19" s="50"/>
      <c r="I19" s="50"/>
    </row>
    <row r="20" spans="1:9" ht="103.5" customHeight="1">
      <c r="A20" s="49" t="s">
        <v>166</v>
      </c>
      <c r="B20" s="49" t="s">
        <v>166</v>
      </c>
      <c r="C20" s="49"/>
      <c r="D20" s="49"/>
      <c r="E20" s="49">
        <f t="shared" si="0"/>
        <v>0</v>
      </c>
      <c r="F20" s="49"/>
      <c r="G20" s="49"/>
      <c r="H20" s="50"/>
      <c r="I20" s="50"/>
    </row>
    <row r="21" spans="1:9" ht="103.5" customHeight="1">
      <c r="A21" s="49" t="s">
        <v>170</v>
      </c>
      <c r="B21" s="49" t="s">
        <v>170</v>
      </c>
      <c r="C21" s="49"/>
      <c r="D21" s="49"/>
      <c r="E21" s="49">
        <f t="shared" si="0"/>
        <v>0</v>
      </c>
      <c r="F21" s="49"/>
      <c r="G21" s="49"/>
      <c r="H21" s="50"/>
      <c r="I21" s="50"/>
    </row>
    <row r="22" spans="1:9" ht="20.25">
      <c r="A22" s="51"/>
      <c r="B22" s="51"/>
      <c r="C22" s="51"/>
      <c r="D22" s="51"/>
      <c r="E22" s="51"/>
      <c r="F22" s="51"/>
      <c r="G22" s="51"/>
      <c r="H22" s="51"/>
      <c r="I22" s="51"/>
    </row>
    <row r="23" spans="1:9" ht="20.25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20.25">
      <c r="A24" s="51"/>
      <c r="B24" s="51"/>
      <c r="C24" s="51"/>
      <c r="D24" s="51"/>
      <c r="E24" s="51"/>
      <c r="F24" s="51"/>
      <c r="G24" s="51"/>
      <c r="H24" s="51"/>
      <c r="I24" s="51"/>
    </row>
    <row r="25" spans="1:9" ht="20.25">
      <c r="A25" s="51"/>
      <c r="B25" s="51"/>
      <c r="C25" s="51"/>
      <c r="D25" s="51"/>
      <c r="E25" s="51"/>
      <c r="F25" s="51"/>
      <c r="G25" s="51"/>
      <c r="H25" s="51"/>
      <c r="I25" s="51"/>
    </row>
    <row r="26" spans="1:9" ht="20.25">
      <c r="A26" s="51"/>
      <c r="B26" s="51"/>
      <c r="C26" s="51"/>
      <c r="D26" s="51"/>
      <c r="E26" s="51"/>
      <c r="F26" s="51"/>
      <c r="G26" s="51"/>
      <c r="H26" s="51"/>
      <c r="I26" s="51"/>
    </row>
    <row r="27" spans="1:9" ht="20.25">
      <c r="A27" s="51"/>
      <c r="B27" s="51"/>
      <c r="C27" s="51"/>
      <c r="D27" s="51"/>
      <c r="E27" s="51"/>
      <c r="F27" s="51"/>
      <c r="G27" s="51"/>
      <c r="H27" s="51"/>
      <c r="I27" s="51"/>
    </row>
    <row r="28" spans="1:9" ht="20.25">
      <c r="A28" s="51"/>
      <c r="B28" s="51"/>
      <c r="C28" s="51"/>
      <c r="D28" s="51"/>
      <c r="E28" s="51"/>
      <c r="F28" s="51"/>
      <c r="G28" s="51"/>
      <c r="H28" s="51"/>
      <c r="I28" s="51"/>
    </row>
    <row r="29" spans="1:9" ht="20.25">
      <c r="A29" s="51"/>
      <c r="B29" s="51"/>
      <c r="C29" s="51"/>
      <c r="D29" s="51"/>
      <c r="E29" s="51"/>
      <c r="F29" s="51"/>
      <c r="G29" s="51"/>
      <c r="H29" s="51"/>
      <c r="I29" s="51"/>
    </row>
    <row r="30" spans="1:9" ht="20.25">
      <c r="A30" s="51"/>
      <c r="B30" s="51"/>
      <c r="C30" s="51"/>
      <c r="D30" s="51"/>
      <c r="E30" s="51"/>
      <c r="F30" s="51"/>
      <c r="G30" s="51"/>
      <c r="H30" s="51"/>
      <c r="I30" s="51"/>
    </row>
    <row r="31" spans="1:9" ht="20.25">
      <c r="A31" s="51"/>
      <c r="B31" s="51"/>
      <c r="C31" s="51"/>
      <c r="D31" s="51"/>
      <c r="E31" s="51"/>
      <c r="F31" s="51"/>
      <c r="G31" s="51"/>
      <c r="H31" s="51"/>
      <c r="I31" s="51"/>
    </row>
    <row r="32" spans="1:9" ht="20.25">
      <c r="A32" s="51"/>
      <c r="B32" s="51"/>
      <c r="C32" s="51"/>
      <c r="D32" s="51"/>
      <c r="E32" s="51"/>
      <c r="F32" s="51"/>
      <c r="G32" s="51"/>
      <c r="H32" s="51"/>
      <c r="I32" s="51"/>
    </row>
    <row r="33" spans="1:9" ht="20.25">
      <c r="A33" s="51"/>
      <c r="B33" s="51"/>
      <c r="C33" s="51"/>
      <c r="D33" s="51"/>
      <c r="E33" s="51"/>
      <c r="F33" s="51"/>
      <c r="G33" s="51"/>
      <c r="H33" s="51"/>
      <c r="I33" s="51"/>
    </row>
    <row r="34" spans="1:9" ht="20.25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20.25">
      <c r="A35" s="51"/>
      <c r="B35" s="51"/>
      <c r="C35" s="51"/>
      <c r="D35" s="51"/>
      <c r="E35" s="51"/>
      <c r="F35" s="51"/>
      <c r="G35" s="51"/>
      <c r="H35" s="51"/>
      <c r="I35" s="51"/>
    </row>
    <row r="36" spans="1:9" ht="20.25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20.25">
      <c r="A37" s="51"/>
      <c r="B37" s="51"/>
      <c r="C37" s="51"/>
      <c r="D37" s="51"/>
      <c r="E37" s="51"/>
      <c r="F37" s="51"/>
      <c r="G37" s="51"/>
      <c r="H37" s="51"/>
      <c r="I37" s="51"/>
    </row>
    <row r="38" spans="1:9" ht="20.25">
      <c r="A38" s="51"/>
      <c r="B38" s="51"/>
      <c r="C38" s="51"/>
      <c r="D38" s="51"/>
      <c r="E38" s="51"/>
      <c r="F38" s="51"/>
      <c r="G38" s="51"/>
      <c r="H38" s="51"/>
      <c r="I38" s="51"/>
    </row>
    <row r="39" spans="1:9" ht="20.25">
      <c r="A39" s="51"/>
      <c r="B39" s="51"/>
      <c r="C39" s="51"/>
      <c r="D39" s="51"/>
      <c r="E39" s="51"/>
      <c r="F39" s="51"/>
      <c r="G39" s="51"/>
      <c r="H39" s="51"/>
      <c r="I39" s="51"/>
    </row>
    <row r="40" spans="1:9" ht="20.25">
      <c r="A40" s="51"/>
      <c r="B40" s="51"/>
      <c r="C40" s="51"/>
      <c r="D40" s="51"/>
      <c r="E40" s="51"/>
      <c r="F40" s="51"/>
      <c r="G40" s="51"/>
      <c r="H40" s="51"/>
      <c r="I40" s="51"/>
    </row>
    <row r="41" spans="1:9" ht="20.25">
      <c r="A41" s="51"/>
      <c r="B41" s="51"/>
      <c r="C41" s="51"/>
      <c r="D41" s="51"/>
      <c r="E41" s="51"/>
      <c r="F41" s="51"/>
      <c r="G41" s="51"/>
      <c r="H41" s="51"/>
      <c r="I41" s="51"/>
    </row>
    <row r="42" spans="1:9" ht="20.25">
      <c r="A42" s="51"/>
      <c r="B42" s="51"/>
      <c r="C42" s="51"/>
      <c r="D42" s="51"/>
      <c r="E42" s="51"/>
      <c r="F42" s="51"/>
      <c r="G42" s="51"/>
      <c r="H42" s="51"/>
      <c r="I42" s="51"/>
    </row>
    <row r="43" spans="1:9" ht="20.25">
      <c r="A43" s="51"/>
      <c r="B43" s="51"/>
      <c r="C43" s="51"/>
      <c r="D43" s="51"/>
      <c r="E43" s="51"/>
      <c r="F43" s="51"/>
      <c r="G43" s="51"/>
      <c r="H43" s="51"/>
      <c r="I43" s="51"/>
    </row>
    <row r="44" spans="1:9" ht="20.25">
      <c r="A44" s="51"/>
      <c r="B44" s="51"/>
      <c r="C44" s="51"/>
      <c r="D44" s="51"/>
      <c r="E44" s="51"/>
      <c r="F44" s="51"/>
      <c r="G44" s="51"/>
      <c r="H44" s="51"/>
      <c r="I44" s="51"/>
    </row>
    <row r="45" spans="1:9" ht="20.25">
      <c r="A45" s="51"/>
      <c r="B45" s="51"/>
      <c r="C45" s="51"/>
      <c r="D45" s="51"/>
      <c r="E45" s="51"/>
      <c r="F45" s="51"/>
      <c r="G45" s="51"/>
      <c r="H45" s="51"/>
      <c r="I45" s="51"/>
    </row>
  </sheetData>
  <mergeCells count="2">
    <mergeCell ref="A1:I1"/>
    <mergeCell ref="A4:A8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안내</vt:lpstr>
      <vt:lpstr>이재희</vt:lpstr>
      <vt:lpstr>김가은</vt:lpstr>
      <vt:lpstr>김보혜</vt:lpstr>
      <vt:lpstr>박언정</vt:lpstr>
      <vt:lpstr>강아름</vt:lpstr>
      <vt:lpstr>정민지</vt:lpstr>
      <vt:lpstr>주간 점검 보고서</vt:lpstr>
      <vt:lpstr>유사 배송지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358</cp:lastModifiedBy>
  <cp:revision>0</cp:revision>
  <cp:lastPrinted>2026-10-06T12:29:14Z</cp:lastPrinted>
  <dcterms:created xsi:type="dcterms:W3CDTF">2026-09-23T06:34:37Z</dcterms:created>
  <dcterms:modified xsi:type="dcterms:W3CDTF">2026-10-07T07:00:52Z</dcterms:modified>
  <dc:language>en-US</dc:language>
</cp:coreProperties>
</file>